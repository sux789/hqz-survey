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520" windowHeight="14260" tabRatio="953"/>
  </bookViews>
  <sheets>
    <sheet name="表1－人工造林小班验收因子表（完整）" sheetId="1" r:id="rId1"/>
  </sheets>
  <definedNames>
    <definedName name="_xlnm._FilterDatabase" localSheetId="0" hidden="1">'表1－人工造林小班验收因子表（完整）'!$A$4:$AU$4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A3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表头及内容固定</t>
        </r>
      </text>
    </comment>
    <comment ref="AN3" authorId="0">
      <text>
        <r>
          <rPr>
            <b/>
            <sz val="9"/>
            <rFont val="宋体"/>
            <charset val="134"/>
          </rPr>
          <t xml:space="preserve">lenovo:手写签名
</t>
        </r>
      </text>
    </comment>
    <comment ref="AO3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第一次填写时间
</t>
        </r>
      </text>
    </comment>
    <comment ref="AP3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可编辑
</t>
        </r>
      </text>
    </comment>
    <comment ref="AQ3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手写签字</t>
        </r>
      </text>
    </comment>
    <comment ref="BI3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新增界面样地测算成活率</t>
        </r>
      </text>
    </comment>
    <comment ref="AM4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表头不变，内容可编辑</t>
        </r>
      </text>
    </comment>
  </commentList>
</comments>
</file>

<file path=xl/sharedStrings.xml><?xml version="1.0" encoding="utf-8"?>
<sst xmlns="http://schemas.openxmlformats.org/spreadsheetml/2006/main" count="829" uniqueCount="220">
  <si>
    <t>人工造林小班质量因子表</t>
  </si>
  <si>
    <t xml:space="preserve">表1 </t>
  </si>
  <si>
    <t>单位：亩、%、株</t>
  </si>
  <si>
    <t>州(市)</t>
  </si>
  <si>
    <t>调查小班号</t>
  </si>
  <si>
    <t>县</t>
  </si>
  <si>
    <t>乡</t>
  </si>
  <si>
    <t>村</t>
  </si>
  <si>
    <t>林班</t>
  </si>
  <si>
    <t>小班</t>
  </si>
  <si>
    <t>验收类别</t>
  </si>
  <si>
    <t>项目名称</t>
  </si>
  <si>
    <t>计划年度</t>
  </si>
  <si>
    <t>作业年度</t>
  </si>
  <si>
    <t>林地所有权</t>
  </si>
  <si>
    <t>造林树种</t>
  </si>
  <si>
    <t>上报面积</t>
  </si>
  <si>
    <t>成活率等级(%)</t>
  </si>
  <si>
    <t>核实面积(亩)</t>
  </si>
  <si>
    <t>面积核实不足原因</t>
  </si>
  <si>
    <t>造林不合格原因</t>
  </si>
  <si>
    <t>损失原因</t>
  </si>
  <si>
    <t>管理情况</t>
  </si>
  <si>
    <t>按作业设计施工率</t>
  </si>
  <si>
    <t>建档率</t>
  </si>
  <si>
    <t>管护率</t>
  </si>
  <si>
    <t>抚育率</t>
  </si>
  <si>
    <t>验收人员（手写签字）</t>
  </si>
  <si>
    <t>验收时间（选填）</t>
  </si>
  <si>
    <t>备注</t>
  </si>
  <si>
    <t>配合验收人员（手写签字）</t>
  </si>
  <si>
    <t>轨迹</t>
  </si>
  <si>
    <t>照片</t>
  </si>
  <si>
    <t>调查样地号</t>
  </si>
  <si>
    <t>样地数量</t>
  </si>
  <si>
    <t>样地坐标x</t>
  </si>
  <si>
    <t>样地坐标y</t>
  </si>
  <si>
    <r>
      <rPr>
        <sz val="8"/>
        <color rgb="FFFF0000"/>
        <rFont val="宋体"/>
        <charset val="134"/>
        <scheme val="minor"/>
      </rPr>
      <t>样地面积（m</t>
    </r>
    <r>
      <rPr>
        <vertAlign val="superscript"/>
        <sz val="8"/>
        <color rgb="FFFF0000"/>
        <rFont val="宋体"/>
        <charset val="134"/>
        <scheme val="minor"/>
      </rPr>
      <t>2</t>
    </r>
    <r>
      <rPr>
        <sz val="8"/>
        <color rgb="FFFF0000"/>
        <rFont val="宋体"/>
        <charset val="134"/>
        <scheme val="minor"/>
      </rPr>
      <t>）</t>
    </r>
  </si>
  <si>
    <t>样地成活株树</t>
  </si>
  <si>
    <t>平均样地成活株树</t>
  </si>
  <si>
    <t>每亩面积</t>
  </si>
  <si>
    <t>每亩设计株树</t>
  </si>
  <si>
    <t>小班平均成活率</t>
  </si>
  <si>
    <t>造林比例</t>
  </si>
  <si>
    <t>保存率</t>
  </si>
  <si>
    <t>备注1</t>
  </si>
  <si>
    <t>合格</t>
  </si>
  <si>
    <t>待补植</t>
  </si>
  <si>
    <t>失败</t>
  </si>
  <si>
    <t>计</t>
  </si>
  <si>
    <t>合格面积</t>
  </si>
  <si>
    <t>待补植面积</t>
  </si>
  <si>
    <t>失败面积</t>
  </si>
  <si>
    <t>损失面积</t>
  </si>
  <si>
    <t>作业设计</t>
  </si>
  <si>
    <t>会议纪要</t>
  </si>
  <si>
    <t>讲话记录</t>
  </si>
  <si>
    <t>调研报告</t>
  </si>
  <si>
    <t>监理报告</t>
  </si>
  <si>
    <t>图片</t>
  </si>
  <si>
    <t>符合设计的施工面积</t>
  </si>
  <si>
    <t>建档面积</t>
  </si>
  <si>
    <t>管护面积</t>
  </si>
  <si>
    <t>抚育面积</t>
  </si>
  <si>
    <t>样1</t>
  </si>
  <si>
    <t>样2</t>
  </si>
  <si>
    <t>样3</t>
  </si>
  <si>
    <t>样4</t>
  </si>
  <si>
    <t>样5</t>
  </si>
  <si>
    <t>玉溪市</t>
  </si>
  <si>
    <t>华宁县</t>
  </si>
  <si>
    <t>东山林场</t>
  </si>
  <si>
    <t>东山</t>
  </si>
  <si>
    <t>市级</t>
  </si>
  <si>
    <t>玉溪市滇中山地石漠化综合治理项目(2023 年度)</t>
  </si>
  <si>
    <t>集体</t>
  </si>
  <si>
    <t>6云南松4麻栎</t>
  </si>
  <si>
    <t>玉溪市滇中山地石漠化综合治理项目(2024 年度)</t>
  </si>
  <si>
    <t>6云南松4黄连木</t>
  </si>
  <si>
    <t>玉溪市滇中山地石漠化综合治理项目(2025 年度)</t>
  </si>
  <si>
    <t>6麻栎4云南松</t>
  </si>
  <si>
    <t>玉溪市滇中山地石漠化综合治理项目(2026 年度)</t>
  </si>
  <si>
    <t>华溪镇</t>
  </si>
  <si>
    <t>大新寨</t>
  </si>
  <si>
    <t>玉溪市滇中山地石漠化综合治理项目(2027 年度)</t>
  </si>
  <si>
    <t>玉溪市滇中山地石漠化综合治理项目(2028 年度)</t>
  </si>
  <si>
    <t>宁州</t>
  </si>
  <si>
    <t>郭家</t>
  </si>
  <si>
    <t>玉溪市滇中山地石漠化综合治理项目(2029 年度)</t>
  </si>
  <si>
    <t>火特</t>
  </si>
  <si>
    <t>玉溪市滇中山地石漠化综合治理项目(2030 年度)</t>
  </si>
  <si>
    <t>6旱冬瓜4华山松</t>
  </si>
  <si>
    <t>新增1</t>
  </si>
  <si>
    <t>玉溪市滇中山地石漠化综合治理项目(2031 年度)</t>
  </si>
  <si>
    <t>舍木多</t>
  </si>
  <si>
    <t>新增2</t>
  </si>
  <si>
    <t>玉溪市滇中山地石漠化综合治理项目(2032 年度)</t>
  </si>
  <si>
    <t>右所</t>
  </si>
  <si>
    <t>玉溪市滇中山地石漠化综合治理项目(2033 年度)</t>
  </si>
  <si>
    <t>宁州街道</t>
  </si>
  <si>
    <t>阿路本</t>
  </si>
  <si>
    <t>玉溪市滇中山地石漠化综合治理项目(2034 年度)</t>
  </si>
  <si>
    <t>国有</t>
  </si>
  <si>
    <t>冲麦</t>
  </si>
  <si>
    <t>玉溪市滇中山地石漠化综合治理项目(2035 年度)</t>
  </si>
  <si>
    <t>6雪松4黄连木</t>
  </si>
  <si>
    <t>玉溪市滇中山地石漠化综合治理项目(2036 年度)</t>
  </si>
  <si>
    <t>6黄连木4雪松</t>
  </si>
  <si>
    <t>玉溪市滇中山地石漠化综合治理项目(2037 年度)</t>
  </si>
  <si>
    <t>玉溪市滇中山地石漠化综合治理项目(2038 年度)</t>
  </si>
  <si>
    <t>玉溪市滇中山地石漠化综合治理项目(2039 年度)</t>
  </si>
  <si>
    <t>玉溪市滇中山地石漠化综合治理项目(2040 年度)</t>
  </si>
  <si>
    <t>玉溪市滇中山地石漠化综合治理项目(2041 年度)</t>
  </si>
  <si>
    <t>玉溪市滇中山地石漠化综合治理项目(2042 年度)</t>
  </si>
  <si>
    <t>法果</t>
  </si>
  <si>
    <t>玉溪市滇中山地石漠化综合治理项目(2043 年度)</t>
  </si>
  <si>
    <t>葫芦冲</t>
  </si>
  <si>
    <t>玉溪市滇中山地石漠化综合治理项目(2044 年度)</t>
  </si>
  <si>
    <t>6云南松4华山松</t>
  </si>
  <si>
    <t>玉溪市滇中山地石漠化综合治理项目(2045 年度)</t>
  </si>
  <si>
    <t>玉溪市滇中山地石漠化综合治理项目(2046 年度)</t>
  </si>
  <si>
    <t>马鞍山</t>
  </si>
  <si>
    <t>玉溪市滇中山地石漠化综合治理项目(2047 年度)</t>
  </si>
  <si>
    <t>玉溪市滇中山地石漠化综合治理项目(2048 年度)</t>
  </si>
  <si>
    <t>吗达</t>
  </si>
  <si>
    <t>玉溪市滇中山地石漠化综合治理项目(2049 年度)</t>
  </si>
  <si>
    <t>玉溪市滇中山地石漠化综合治理项目(2050 年度)</t>
  </si>
  <si>
    <t>茂地</t>
  </si>
  <si>
    <t>玉溪市滇中山地石漠化综合治理项目(2051 年度)</t>
  </si>
  <si>
    <t>慕车</t>
  </si>
  <si>
    <t>玉溪市滇中山地石漠化综合治理项目(2052 年度)</t>
  </si>
  <si>
    <t>6黄连木4华山松</t>
  </si>
  <si>
    <t>平地</t>
  </si>
  <si>
    <t>玉溪市滇中山地石漠化综合治理项目(2053 年度)</t>
  </si>
  <si>
    <t>玉溪市滇中山地石漠化综合治理项目(2054 年度)</t>
  </si>
  <si>
    <t>玉溪市滇中山地石漠化综合治理项目(2055 年度)</t>
  </si>
  <si>
    <t>玉溪市滇中山地石漠化综合治理项目(2056 年度)</t>
  </si>
  <si>
    <t>玉溪市滇中山地石漠化综合治理项目(2057 年度)</t>
  </si>
  <si>
    <t>玉溪市滇中山地石漠化综合治理项目(2058 年度)</t>
  </si>
  <si>
    <t>普查寨</t>
  </si>
  <si>
    <t>玉溪市滇中山地石漠化综合治理项目(2059 年度)</t>
  </si>
  <si>
    <t>玉溪市滇中山地石漠化综合治理项目(2060 年度)</t>
  </si>
  <si>
    <t>玉溪市滇中山地石漠化综合治理项目(2061 年度)</t>
  </si>
  <si>
    <t>6华山松4旱冬瓜</t>
  </si>
  <si>
    <t>玉溪市滇中山地石漠化综合治理项目(2062 年度)</t>
  </si>
  <si>
    <t>玉溪市滇中山地石漠化综合治理项目(2063 年度)</t>
  </si>
  <si>
    <t>西冲</t>
  </si>
  <si>
    <t>玉溪市滇中山地石漠化综合治理项目(2064 年度)</t>
  </si>
  <si>
    <t>玉溪市滇中山地石漠化综合治理项目(2065 年度)</t>
  </si>
  <si>
    <t>玉溪市滇中山地石漠化综合治理项目(2066 年度)</t>
  </si>
  <si>
    <t>玉溪市滇中山地石漠化综合治理项目(2067 年度)</t>
  </si>
  <si>
    <t>新城</t>
  </si>
  <si>
    <t>玉溪市滇中山地石漠化综合治理项目(2068 年度)</t>
  </si>
  <si>
    <t>新庄</t>
  </si>
  <si>
    <t>玉溪市滇中山地石漠化综合治理项目(2069 年度)</t>
  </si>
  <si>
    <t>玉溪市滇中山地石漠化综合治理项目(2070 年度)</t>
  </si>
  <si>
    <t>玉溪市滇中山地石漠化综合治理项目(2071 年度)</t>
  </si>
  <si>
    <t>青龙</t>
  </si>
  <si>
    <t>落梅</t>
  </si>
  <si>
    <t>玉溪市滇中山地石漠化综合治理项目(2072 年度)</t>
  </si>
  <si>
    <t>玉溪市滇中山地石漠化综合治理项目(2073 年度)</t>
  </si>
  <si>
    <t xml:space="preserve"> 16-1</t>
  </si>
  <si>
    <t>玉溪市滇中山地石漠化综合治理项目(2074 年度)</t>
  </si>
  <si>
    <t>青龙镇</t>
  </si>
  <si>
    <t>城门硐</t>
  </si>
  <si>
    <t>玉溪市滇中山地石漠化综合治理项目(2075 年度)</t>
  </si>
  <si>
    <t>玉溪市滇中山地石漠化综合治理项目(2076 年度)</t>
  </si>
  <si>
    <t>倒马坎</t>
  </si>
  <si>
    <t>玉溪市滇中山地石漠化综合治理项目(2077 年度)</t>
  </si>
  <si>
    <t>玉溪市滇中山地石漠化综合治理项目(2078 年度)</t>
  </si>
  <si>
    <t>斗居</t>
  </si>
  <si>
    <t>玉溪市滇中山地石漠化综合治理项目(2079 年度)</t>
  </si>
  <si>
    <t>玉溪市滇中山地石漠化综合治理项目(2080 年度)</t>
  </si>
  <si>
    <t>海迤</t>
  </si>
  <si>
    <t>玉溪市滇中山地石漠化综合治理项目(2081 年度)</t>
  </si>
  <si>
    <t>玉溪市滇中山地石漠化综合治理项目(2082 年度)</t>
  </si>
  <si>
    <t>玉溪市滇中山地石漠化综合治理项目(2083 年度)</t>
  </si>
  <si>
    <t>6黄连木4云南松</t>
  </si>
  <si>
    <t>玉溪市滇中山地石漠化综合治理项目(2084 年度)</t>
  </si>
  <si>
    <t>玉溪市滇中山地石漠化综合治理项目(2085 年度)</t>
  </si>
  <si>
    <t>玉溪市滇中山地石漠化综合治理项目(2086 年度)</t>
  </si>
  <si>
    <t>玉溪市滇中山地石漠化综合治理项目(2087 年度)</t>
  </si>
  <si>
    <t>玉溪市滇中山地石漠化综合治理项目(2088 年度)</t>
  </si>
  <si>
    <t>6华山松4黄连木</t>
  </si>
  <si>
    <t>玉溪市滇中山地石漠化综合治理项目(2089 年度)</t>
  </si>
  <si>
    <t>玉溪市滇中山地石漠化综合治理项目(2090 年度)</t>
  </si>
  <si>
    <t>玉溪市滇中山地石漠化综合治理项目(2091 年度)</t>
  </si>
  <si>
    <t>玉溪市滇中山地石漠化综合治理项目(2092 年度)</t>
  </si>
  <si>
    <t>玉溪市滇中山地石漠化综合治理项目(2093 年度)</t>
  </si>
  <si>
    <t>玉溪市滇中山地石漠化综合治理项目(2094 年度)</t>
  </si>
  <si>
    <t>玉溪市滇中山地石漠化综合治理项目(2095 年度)</t>
  </si>
  <si>
    <t>玉溪市滇中山地石漠化综合治理项目(2096 年度)</t>
  </si>
  <si>
    <t>玉溪市滇中山地石漠化综合治理项目(2097 年度)</t>
  </si>
  <si>
    <t>马鹿塘</t>
  </si>
  <si>
    <t>玉溪市滇中山地石漠化综合治理项目(2098 年度)</t>
  </si>
  <si>
    <t>玉溪市滇中山地石漠化综合治理项目(2099 年度)</t>
  </si>
  <si>
    <t>玉溪市滇中山地石漠化综合治理项目(2100 年度)</t>
  </si>
  <si>
    <t>玉溪市滇中山地石漠化综合治理项目(2101 年度)</t>
  </si>
  <si>
    <t>糯租</t>
  </si>
  <si>
    <t>玉溪市滇中山地石漠化综合治理项目(2102 年度)</t>
  </si>
  <si>
    <t>矣甫</t>
  </si>
  <si>
    <t>玉溪市滇中山地石漠化综合治理项目(2103 年度)</t>
  </si>
  <si>
    <t>矣马白</t>
  </si>
  <si>
    <t>玉溪市滇中山地石漠化综合治理项目(2104 年度)</t>
  </si>
  <si>
    <t>玉溪市滇中山地石漠化综合治理项目(2105 年度)</t>
  </si>
  <si>
    <t>玉溪市滇中山地石漠化综合治理项目(2106 年度)</t>
  </si>
  <si>
    <t>玉溪市滇中山地石漠化综合治理项目(2107 年度)</t>
  </si>
  <si>
    <t>玉溪市滇中山地石漠化综合治理项目(2108 年度)</t>
  </si>
  <si>
    <t>玉溪市滇中山地石漠化综合治理项目(2109 年度)</t>
  </si>
  <si>
    <t>玉溪市滇中山地石漠化综合治理项目(2110 年度)</t>
  </si>
  <si>
    <t>玉溪市滇中山地石漠化综合治理项目(2111 年度)</t>
  </si>
  <si>
    <t>玉溪市滇中山地石漠化综合治理项目(2112 年度)</t>
  </si>
  <si>
    <t>中村</t>
  </si>
  <si>
    <t>玉溪市滇中山地石漠化综合治理项目(2113 年度)</t>
  </si>
  <si>
    <t>通红甸乡</t>
  </si>
  <si>
    <t>所梅早</t>
  </si>
  <si>
    <t xml:space="preserve"> 1-1</t>
  </si>
  <si>
    <t>玉溪市滇中山地石漠化综合治理项目(2114 年度)</t>
  </si>
  <si>
    <t>玉溪市滇中山地石漠化综合治理项目(2115 年度)</t>
  </si>
  <si>
    <t>玉溪市滇中山地石漠化综合治理项目(2116 年度)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</si>
</sst>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rgb="FF000000"/>
      <name val="宋体"/>
      <charset val="134"/>
      <scheme val="minor"/>
    </font>
    <font>
      <sz val="8"/>
      <name val="宋体"/>
      <charset val="134"/>
      <scheme val="minor"/>
    </font>
    <font>
      <sz val="8"/>
      <color theme="4"/>
      <name val="宋体"/>
      <charset val="134"/>
      <scheme val="minor"/>
    </font>
    <font>
      <sz val="8"/>
      <color rgb="FFFF0000"/>
      <name val="宋体"/>
      <charset val="134"/>
      <scheme val="minor"/>
    </font>
    <font>
      <sz val="8"/>
      <color rgb="FF000000"/>
      <name val="宋体"/>
      <charset val="134"/>
    </font>
    <font>
      <sz val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8"/>
      <color rgb="FFFF0000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3" fillId="2" borderId="6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0" fontId="1" fillId="0" borderId="1" xfId="0" applyNumberFormat="1" applyFont="1" applyBorder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Border="1" applyAlignment="1">
      <alignment vertical="center" wrapText="1"/>
    </xf>
    <xf numFmtId="58" fontId="1" fillId="0" borderId="1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98"/>
  <sheetViews>
    <sheetView tabSelected="1" zoomScale="74" zoomScaleNormal="74" topLeftCell="E1" workbookViewId="0">
      <selection activeCell="AT3" sqref="AT3:AT4"/>
    </sheetView>
  </sheetViews>
  <sheetFormatPr defaultColWidth="9" defaultRowHeight="12"/>
  <cols>
    <col min="1" max="2" width="4.72115384615385" style="1" customWidth="1"/>
    <col min="3" max="3" width="5.60576923076923" style="1" customWidth="1"/>
    <col min="4" max="4" width="5.17307692307692" style="1" customWidth="1"/>
    <col min="5" max="5" width="7.31730769230769" style="1" customWidth="1"/>
    <col min="6" max="8" width="3.31730769230769" style="1" customWidth="1"/>
    <col min="9" max="9" width="6.10576923076923" style="1" customWidth="1"/>
    <col min="10" max="10" width="4.38461538461539" style="1" customWidth="1"/>
    <col min="11" max="11" width="4.34615384615385" style="1" customWidth="1"/>
    <col min="12" max="12" width="4.72115384615385" style="1" customWidth="1"/>
    <col min="13" max="13" width="5.92307692307692" style="1" customWidth="1"/>
    <col min="14" max="14" width="6.91346153846154" style="1" customWidth="1"/>
    <col min="15" max="17" width="3.31730769230769" style="1" customWidth="1"/>
    <col min="18" max="18" width="1.93269230769231" style="1" customWidth="1"/>
    <col min="19" max="22" width="3.31730769230769" style="1" customWidth="1"/>
    <col min="23" max="24" width="6.10576923076923" style="1" customWidth="1"/>
    <col min="25" max="31" width="3.31730769230769" style="1" customWidth="1"/>
    <col min="32" max="32" width="6.10576923076923" style="1" customWidth="1"/>
    <col min="33" max="33" width="4.72115384615385" style="1" customWidth="1"/>
    <col min="34" max="34" width="3.31730769230769" style="1" customWidth="1"/>
    <col min="35" max="35" width="4.72115384615385" style="1" customWidth="1"/>
    <col min="36" max="36" width="3.31730769230769" style="1" customWidth="1"/>
    <col min="37" max="38" width="4.72115384615385" style="1" customWidth="1"/>
    <col min="39" max="42" width="3.31730769230769" style="1" customWidth="1"/>
    <col min="43" max="43" width="4.72115384615385" style="1" customWidth="1"/>
    <col min="44" max="45" width="4.20192307692308" style="1" customWidth="1"/>
    <col min="46" max="46" width="4.72115384615385" style="1" customWidth="1"/>
    <col min="47" max="47" width="7" style="1" customWidth="1"/>
    <col min="48" max="49" width="4.72115384615385" style="1" customWidth="1"/>
    <col min="50" max="50" width="7" style="1" customWidth="1"/>
    <col min="51" max="54" width="2.65384615384615" style="2" customWidth="1"/>
    <col min="55" max="55" width="3.53846153846154" style="2" customWidth="1"/>
    <col min="56" max="58" width="7" style="1" customWidth="1"/>
    <col min="59" max="59" width="9.49038461538461" style="3" customWidth="1"/>
    <col min="60" max="60" width="7" style="1" customWidth="1"/>
    <col min="61" max="61" width="5.60576923076923" style="1" customWidth="1"/>
    <col min="62" max="16384" width="9" style="1"/>
  </cols>
  <sheetData>
    <row r="1" spans="1:6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T1" s="4"/>
      <c r="AV1" s="4"/>
      <c r="AW1" s="4"/>
    </row>
    <row r="2" s="1" customFormat="1" ht="16" customHeight="1" spans="1:6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7" t="s">
        <v>2</v>
      </c>
      <c r="AN2" s="7"/>
      <c r="AO2" s="7"/>
      <c r="AP2" s="7"/>
      <c r="AQ2" s="7"/>
      <c r="AT2" s="7"/>
      <c r="AV2" s="7"/>
      <c r="AW2" s="7"/>
      <c r="AY2" s="2"/>
      <c r="AZ2" s="2"/>
      <c r="BA2" s="2"/>
      <c r="BB2" s="2"/>
      <c r="BC2" s="2"/>
      <c r="BG2" s="3"/>
    </row>
    <row r="3" s="1" customFormat="1" ht="25" customHeight="1" spans="1:62">
      <c r="A3" s="8" t="s">
        <v>3</v>
      </c>
      <c r="B3" s="9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10" t="s">
        <v>10</v>
      </c>
      <c r="I3" s="10" t="s">
        <v>11</v>
      </c>
      <c r="J3" s="11" t="s">
        <v>12</v>
      </c>
      <c r="K3" s="11" t="s">
        <v>13</v>
      </c>
      <c r="L3" s="11" t="s">
        <v>14</v>
      </c>
      <c r="M3" s="11" t="s">
        <v>15</v>
      </c>
      <c r="N3" s="11" t="s">
        <v>16</v>
      </c>
      <c r="O3" s="12" t="s">
        <v>17</v>
      </c>
      <c r="P3" s="12"/>
      <c r="Q3" s="12"/>
      <c r="R3" s="12" t="s">
        <v>18</v>
      </c>
      <c r="S3" s="12"/>
      <c r="T3" s="12"/>
      <c r="U3" s="12"/>
      <c r="V3" s="12"/>
      <c r="W3" s="12" t="s">
        <v>19</v>
      </c>
      <c r="X3" s="12" t="s">
        <v>20</v>
      </c>
      <c r="Y3" s="12" t="s">
        <v>21</v>
      </c>
      <c r="Z3" s="12" t="s">
        <v>22</v>
      </c>
      <c r="AA3" s="12"/>
      <c r="AB3" s="12"/>
      <c r="AC3" s="12"/>
      <c r="AD3" s="12"/>
      <c r="AE3" s="12"/>
      <c r="AF3" s="13" t="s">
        <v>23</v>
      </c>
      <c r="AG3" s="14"/>
      <c r="AH3" s="15" t="s">
        <v>24</v>
      </c>
      <c r="AI3" s="14"/>
      <c r="AJ3" s="15" t="s">
        <v>25</v>
      </c>
      <c r="AK3" s="14"/>
      <c r="AL3" s="12" t="s">
        <v>26</v>
      </c>
      <c r="AM3" s="12"/>
      <c r="AN3" s="16" t="s">
        <v>27</v>
      </c>
      <c r="AO3" s="17" t="s">
        <v>28</v>
      </c>
      <c r="AP3" s="16" t="s">
        <v>29</v>
      </c>
      <c r="AQ3" s="16" t="s">
        <v>30</v>
      </c>
      <c r="AR3" s="18" t="s">
        <v>31</v>
      </c>
      <c r="AS3" s="18" t="s">
        <v>32</v>
      </c>
      <c r="AT3" s="19" t="s">
        <v>33</v>
      </c>
      <c r="AU3" s="20" t="s">
        <v>34</v>
      </c>
      <c r="AV3" s="21" t="s">
        <v>35</v>
      </c>
      <c r="AW3" s="21" t="s">
        <v>36</v>
      </c>
      <c r="AX3" s="22" t="s">
        <v>37</v>
      </c>
      <c r="AY3" s="22" t="s">
        <v>38</v>
      </c>
      <c r="AZ3" s="22"/>
      <c r="BA3" s="22"/>
      <c r="BB3" s="22"/>
      <c r="BC3" s="22"/>
      <c r="BD3" s="22" t="s">
        <v>39</v>
      </c>
      <c r="BE3" s="19" t="s">
        <v>40</v>
      </c>
      <c r="BF3" s="19" t="s">
        <v>41</v>
      </c>
      <c r="BG3" s="23" t="s">
        <v>42</v>
      </c>
      <c r="BH3" s="20" t="s">
        <v>43</v>
      </c>
      <c r="BI3" s="20" t="s">
        <v>44</v>
      </c>
      <c r="BJ3" s="20" t="s">
        <v>45</v>
      </c>
    </row>
    <row r="4" s="1" customFormat="1" ht="48" customHeight="1" spans="1:62">
      <c r="A4" s="8"/>
      <c r="B4" s="24"/>
      <c r="C4" s="8"/>
      <c r="D4" s="8"/>
      <c r="E4" s="8"/>
      <c r="F4" s="8"/>
      <c r="G4" s="8"/>
      <c r="H4" s="25"/>
      <c r="I4" s="25"/>
      <c r="J4" s="11"/>
      <c r="K4" s="11"/>
      <c r="L4" s="11"/>
      <c r="M4" s="11"/>
      <c r="N4" s="11"/>
      <c r="O4" s="12" t="s">
        <v>46</v>
      </c>
      <c r="P4" s="12" t="s">
        <v>47</v>
      </c>
      <c r="Q4" s="12" t="s">
        <v>48</v>
      </c>
      <c r="R4" s="12" t="s">
        <v>49</v>
      </c>
      <c r="S4" s="12" t="s">
        <v>50</v>
      </c>
      <c r="T4" s="12" t="s">
        <v>51</v>
      </c>
      <c r="U4" s="12" t="s">
        <v>52</v>
      </c>
      <c r="V4" s="12" t="s">
        <v>53</v>
      </c>
      <c r="W4" s="12"/>
      <c r="X4" s="12"/>
      <c r="Y4" s="12"/>
      <c r="Z4" s="12" t="s">
        <v>54</v>
      </c>
      <c r="AA4" s="12" t="s">
        <v>55</v>
      </c>
      <c r="AB4" s="12" t="s">
        <v>56</v>
      </c>
      <c r="AC4" s="12" t="s">
        <v>57</v>
      </c>
      <c r="AD4" s="12" t="s">
        <v>58</v>
      </c>
      <c r="AE4" s="12" t="s">
        <v>59</v>
      </c>
      <c r="AF4" s="12" t="s">
        <v>60</v>
      </c>
      <c r="AG4" s="12" t="s">
        <v>23</v>
      </c>
      <c r="AH4" s="12" t="s">
        <v>61</v>
      </c>
      <c r="AI4" s="12" t="s">
        <v>24</v>
      </c>
      <c r="AJ4" s="12" t="s">
        <v>62</v>
      </c>
      <c r="AK4" s="12" t="s">
        <v>25</v>
      </c>
      <c r="AL4" s="12" t="s">
        <v>63</v>
      </c>
      <c r="AM4" s="12" t="s">
        <v>26</v>
      </c>
      <c r="AN4" s="16"/>
      <c r="AO4" s="26"/>
      <c r="AP4" s="16"/>
      <c r="AQ4" s="16"/>
      <c r="AR4" s="18"/>
      <c r="AS4" s="18"/>
      <c r="AT4" s="19"/>
      <c r="AU4" s="20"/>
      <c r="AV4" s="21"/>
      <c r="AW4" s="21"/>
      <c r="AX4" s="22"/>
      <c r="AY4" s="22" t="s">
        <v>64</v>
      </c>
      <c r="AZ4" s="22" t="s">
        <v>65</v>
      </c>
      <c r="BA4" s="22" t="s">
        <v>66</v>
      </c>
      <c r="BB4" s="22" t="s">
        <v>67</v>
      </c>
      <c r="BC4" s="27" t="s">
        <v>68</v>
      </c>
      <c r="BD4" s="22"/>
      <c r="BE4" s="19"/>
      <c r="BF4" s="19"/>
      <c r="BG4" s="23"/>
      <c r="BH4" s="20"/>
      <c r="BI4" s="20"/>
      <c r="BJ4" s="20"/>
    </row>
    <row r="5" s="1" customFormat="1" ht="48" customHeight="1" spans="1:62">
      <c r="A5" s="28" t="s">
        <v>69</v>
      </c>
      <c r="B5" s="28">
        <v>1</v>
      </c>
      <c r="C5" s="29" t="s">
        <v>70</v>
      </c>
      <c r="D5" s="29" t="s">
        <v>71</v>
      </c>
      <c r="E5" s="29" t="s">
        <v>72</v>
      </c>
      <c r="F5" s="28"/>
      <c r="G5" s="30">
        <v>1</v>
      </c>
      <c r="H5" s="31" t="s">
        <v>73</v>
      </c>
      <c r="I5" s="32" t="s">
        <v>74</v>
      </c>
      <c r="J5" s="31">
        <v>2023</v>
      </c>
      <c r="K5" s="31">
        <v>2023</v>
      </c>
      <c r="L5" s="31" t="s">
        <v>75</v>
      </c>
      <c r="M5" s="33" t="s">
        <v>76</v>
      </c>
      <c r="N5" s="33">
        <v>21</v>
      </c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16"/>
      <c r="AM5" s="16"/>
      <c r="AN5" s="16"/>
      <c r="AO5" s="16"/>
      <c r="AP5" s="16"/>
      <c r="AQ5" s="16"/>
      <c r="AR5" s="35"/>
      <c r="AS5" s="35"/>
      <c r="AT5" s="8">
        <v>1</v>
      </c>
      <c r="AU5" s="35">
        <v>3</v>
      </c>
      <c r="AV5" s="16"/>
      <c r="AW5" s="16"/>
      <c r="AX5" s="35">
        <v>100</v>
      </c>
      <c r="AY5" s="36">
        <v>7</v>
      </c>
      <c r="AZ5" s="36">
        <v>5</v>
      </c>
      <c r="BA5" s="36">
        <v>6</v>
      </c>
      <c r="BB5" s="36"/>
      <c r="BC5" s="36"/>
      <c r="BD5" s="35">
        <f>(AY5+AZ5+BA5+BB5+BC5)/AU5</f>
        <v>6</v>
      </c>
      <c r="BE5" s="37">
        <v>666.67</v>
      </c>
      <c r="BF5" s="37">
        <v>111</v>
      </c>
      <c r="BG5" s="38">
        <f>(BD5*BE5)/(AX5*BF5)</f>
        <v>0.360362162162162</v>
      </c>
      <c r="BH5" s="35"/>
      <c r="BI5" s="35"/>
      <c r="BJ5" s="35"/>
    </row>
    <row r="6" s="1" customFormat="1" ht="48" customHeight="1" spans="1:62">
      <c r="A6" s="28" t="s">
        <v>69</v>
      </c>
      <c r="B6" s="28">
        <v>2</v>
      </c>
      <c r="C6" s="29" t="s">
        <v>70</v>
      </c>
      <c r="D6" s="29" t="s">
        <v>71</v>
      </c>
      <c r="E6" s="29" t="s">
        <v>72</v>
      </c>
      <c r="F6" s="28"/>
      <c r="G6" s="30">
        <v>2</v>
      </c>
      <c r="H6" s="31" t="s">
        <v>73</v>
      </c>
      <c r="I6" s="32" t="s">
        <v>77</v>
      </c>
      <c r="J6" s="31">
        <v>2023</v>
      </c>
      <c r="K6" s="31">
        <v>2023</v>
      </c>
      <c r="L6" s="31" t="s">
        <v>75</v>
      </c>
      <c r="M6" s="33" t="s">
        <v>78</v>
      </c>
      <c r="N6" s="33">
        <v>70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16"/>
      <c r="AM6" s="16"/>
      <c r="AN6" s="16"/>
      <c r="AO6" s="16"/>
      <c r="AP6" s="16"/>
      <c r="AQ6" s="16"/>
      <c r="AR6" s="35"/>
      <c r="AS6" s="35"/>
      <c r="AT6" s="8">
        <v>2</v>
      </c>
      <c r="AU6" s="35"/>
      <c r="AV6" s="16"/>
      <c r="AW6" s="16"/>
      <c r="AX6" s="35"/>
      <c r="AY6" s="36"/>
      <c r="AZ6" s="36"/>
      <c r="BA6" s="36"/>
      <c r="BB6" s="36"/>
      <c r="BC6" s="36"/>
      <c r="BD6" s="35" t="e">
        <f t="shared" ref="BD6:BD37" si="0">(AY6+AZ6+BA6+BB6+BC6)/AU6</f>
        <v>#DIV/0!</v>
      </c>
      <c r="BE6" s="37">
        <v>666.67</v>
      </c>
      <c r="BF6" s="37">
        <v>74</v>
      </c>
      <c r="BG6" s="38"/>
      <c r="BH6" s="35"/>
      <c r="BI6" s="35"/>
      <c r="BJ6" s="35"/>
    </row>
    <row r="7" s="1" customFormat="1" ht="48" customHeight="1" spans="1:62">
      <c r="A7" s="28" t="s">
        <v>69</v>
      </c>
      <c r="B7" s="28">
        <v>3</v>
      </c>
      <c r="C7" s="29" t="s">
        <v>70</v>
      </c>
      <c r="D7" s="29" t="s">
        <v>71</v>
      </c>
      <c r="E7" s="29" t="s">
        <v>72</v>
      </c>
      <c r="F7" s="28"/>
      <c r="G7" s="30">
        <v>3</v>
      </c>
      <c r="H7" s="31" t="s">
        <v>73</v>
      </c>
      <c r="I7" s="32" t="s">
        <v>79</v>
      </c>
      <c r="J7" s="31">
        <v>2023</v>
      </c>
      <c r="K7" s="31">
        <v>2023</v>
      </c>
      <c r="L7" s="31" t="s">
        <v>75</v>
      </c>
      <c r="M7" s="33" t="s">
        <v>80</v>
      </c>
      <c r="N7" s="33">
        <v>15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16"/>
      <c r="AM7" s="16"/>
      <c r="AN7" s="16"/>
      <c r="AO7" s="16"/>
      <c r="AP7" s="16"/>
      <c r="AQ7" s="16"/>
      <c r="AR7" s="35"/>
      <c r="AS7" s="35"/>
      <c r="AT7" s="8">
        <v>3</v>
      </c>
      <c r="AU7" s="35"/>
      <c r="AV7" s="16"/>
      <c r="AW7" s="16"/>
      <c r="AX7" s="35"/>
      <c r="AY7" s="36"/>
      <c r="AZ7" s="36"/>
      <c r="BA7" s="36"/>
      <c r="BB7" s="36"/>
      <c r="BC7" s="36"/>
      <c r="BD7" s="35" t="e">
        <f t="shared" si="0"/>
        <v>#DIV/0!</v>
      </c>
      <c r="BE7" s="37">
        <v>666.67</v>
      </c>
      <c r="BF7" s="37">
        <v>60</v>
      </c>
      <c r="BG7" s="38"/>
      <c r="BH7" s="35"/>
      <c r="BI7" s="35"/>
      <c r="BJ7" s="35"/>
    </row>
    <row r="8" s="1" customFormat="1" ht="48" customHeight="1" spans="1:62">
      <c r="A8" s="28" t="s">
        <v>69</v>
      </c>
      <c r="B8" s="28">
        <v>4</v>
      </c>
      <c r="C8" s="29" t="s">
        <v>70</v>
      </c>
      <c r="D8" s="29" t="s">
        <v>71</v>
      </c>
      <c r="E8" s="29" t="s">
        <v>72</v>
      </c>
      <c r="F8" s="28"/>
      <c r="G8" s="30">
        <v>4</v>
      </c>
      <c r="H8" s="31" t="s">
        <v>73</v>
      </c>
      <c r="I8" s="32" t="s">
        <v>81</v>
      </c>
      <c r="J8" s="31">
        <v>2023</v>
      </c>
      <c r="K8" s="31">
        <v>2023</v>
      </c>
      <c r="L8" s="31" t="s">
        <v>75</v>
      </c>
      <c r="M8" s="33" t="s">
        <v>80</v>
      </c>
      <c r="N8" s="33">
        <v>8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16"/>
      <c r="AM8" s="16"/>
      <c r="AN8" s="16"/>
      <c r="AO8" s="16"/>
      <c r="AP8" s="16"/>
      <c r="AQ8" s="16"/>
      <c r="AR8" s="35"/>
      <c r="AS8" s="35"/>
      <c r="AT8" s="8">
        <v>4</v>
      </c>
      <c r="AU8" s="35"/>
      <c r="AV8" s="16"/>
      <c r="AW8" s="16"/>
      <c r="AX8" s="35"/>
      <c r="AY8" s="36"/>
      <c r="AZ8" s="36"/>
      <c r="BA8" s="36"/>
      <c r="BB8" s="36"/>
      <c r="BC8" s="36"/>
      <c r="BD8" s="35" t="e">
        <f t="shared" si="0"/>
        <v>#DIV/0!</v>
      </c>
      <c r="BE8" s="37">
        <v>666.67</v>
      </c>
      <c r="BF8" s="37">
        <v>74</v>
      </c>
      <c r="BG8" s="38"/>
      <c r="BH8" s="35"/>
      <c r="BI8" s="35"/>
      <c r="BJ8" s="35"/>
    </row>
    <row r="9" s="1" customFormat="1" ht="40.5" customHeight="1" spans="1:62">
      <c r="A9" s="28" t="s">
        <v>69</v>
      </c>
      <c r="B9" s="28">
        <v>5</v>
      </c>
      <c r="C9" s="29" t="s">
        <v>70</v>
      </c>
      <c r="D9" s="29" t="s">
        <v>82</v>
      </c>
      <c r="E9" s="29" t="s">
        <v>83</v>
      </c>
      <c r="F9" s="39"/>
      <c r="G9" s="30">
        <v>1</v>
      </c>
      <c r="H9" s="31" t="s">
        <v>73</v>
      </c>
      <c r="I9" s="32" t="s">
        <v>84</v>
      </c>
      <c r="J9" s="31">
        <v>2023</v>
      </c>
      <c r="K9" s="31">
        <v>2023</v>
      </c>
      <c r="L9" s="31" t="s">
        <v>75</v>
      </c>
      <c r="M9" s="33" t="s">
        <v>80</v>
      </c>
      <c r="N9" s="33">
        <v>54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35"/>
      <c r="AS9" s="35"/>
      <c r="AT9" s="8">
        <v>5</v>
      </c>
      <c r="AU9" s="35"/>
      <c r="AV9" s="16"/>
      <c r="AW9" s="16"/>
      <c r="AX9" s="35"/>
      <c r="AY9" s="36"/>
      <c r="AZ9" s="36"/>
      <c r="BA9" s="36"/>
      <c r="BB9" s="36"/>
      <c r="BC9" s="36"/>
      <c r="BD9" s="35" t="e">
        <f t="shared" si="0"/>
        <v>#DIV/0!</v>
      </c>
      <c r="BE9" s="37">
        <v>666.67</v>
      </c>
      <c r="BF9" s="37">
        <v>111</v>
      </c>
      <c r="BG9" s="38"/>
      <c r="BH9" s="35"/>
      <c r="BI9" s="35"/>
      <c r="BJ9" s="35"/>
    </row>
    <row r="10" ht="84" spans="1:62">
      <c r="A10" s="28" t="s">
        <v>69</v>
      </c>
      <c r="B10" s="28">
        <v>6</v>
      </c>
      <c r="C10" s="29" t="s">
        <v>70</v>
      </c>
      <c r="D10" s="29" t="s">
        <v>82</v>
      </c>
      <c r="E10" s="29" t="s">
        <v>83</v>
      </c>
      <c r="F10" s="33"/>
      <c r="G10" s="30">
        <v>2</v>
      </c>
      <c r="H10" s="31" t="s">
        <v>73</v>
      </c>
      <c r="I10" s="32" t="s">
        <v>85</v>
      </c>
      <c r="J10" s="31">
        <v>2023</v>
      </c>
      <c r="K10" s="31">
        <v>2023</v>
      </c>
      <c r="L10" s="31" t="s">
        <v>75</v>
      </c>
      <c r="M10" s="33" t="s">
        <v>78</v>
      </c>
      <c r="N10" s="33">
        <v>219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16"/>
      <c r="AJ10" s="40"/>
      <c r="AK10" s="40"/>
      <c r="AL10" s="40"/>
      <c r="AM10" s="40"/>
      <c r="AN10" s="40"/>
      <c r="AO10" s="40"/>
      <c r="AP10" s="40"/>
      <c r="AQ10" s="40"/>
      <c r="AR10" s="35"/>
      <c r="AS10" s="35"/>
      <c r="AT10" s="8">
        <v>6</v>
      </c>
      <c r="AU10" s="35"/>
      <c r="AV10" s="40"/>
      <c r="AW10" s="40"/>
      <c r="AX10" s="35"/>
      <c r="AY10" s="36"/>
      <c r="AZ10" s="36"/>
      <c r="BA10" s="36"/>
      <c r="BB10" s="36"/>
      <c r="BC10" s="36"/>
      <c r="BD10" s="35" t="e">
        <f t="shared" si="0"/>
        <v>#DIV/0!</v>
      </c>
      <c r="BE10" s="37">
        <v>666.67</v>
      </c>
      <c r="BF10" s="37">
        <v>111</v>
      </c>
      <c r="BG10" s="38"/>
      <c r="BH10" s="35"/>
      <c r="BI10" s="35"/>
      <c r="BJ10" s="35"/>
    </row>
    <row r="11" ht="84" spans="1:62">
      <c r="A11" s="28" t="s">
        <v>69</v>
      </c>
      <c r="B11" s="28">
        <v>7</v>
      </c>
      <c r="C11" s="29" t="s">
        <v>70</v>
      </c>
      <c r="D11" s="29" t="s">
        <v>86</v>
      </c>
      <c r="E11" s="29" t="s">
        <v>87</v>
      </c>
      <c r="F11" s="41"/>
      <c r="G11" s="30">
        <v>34</v>
      </c>
      <c r="H11" s="31" t="s">
        <v>73</v>
      </c>
      <c r="I11" s="32" t="s">
        <v>88</v>
      </c>
      <c r="J11" s="31">
        <v>2023</v>
      </c>
      <c r="K11" s="31">
        <v>2023</v>
      </c>
      <c r="L11" s="31" t="s">
        <v>75</v>
      </c>
      <c r="M11" s="33" t="s">
        <v>80</v>
      </c>
      <c r="N11" s="33">
        <v>16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16"/>
      <c r="AJ11" s="42"/>
      <c r="AK11" s="42"/>
      <c r="AL11" s="42"/>
      <c r="AM11" s="42"/>
      <c r="AN11" s="42"/>
      <c r="AO11" s="42"/>
      <c r="AP11" s="42"/>
      <c r="AQ11" s="42"/>
      <c r="AR11" s="35"/>
      <c r="AS11" s="35"/>
      <c r="AT11" s="8">
        <v>7</v>
      </c>
      <c r="AU11" s="35"/>
      <c r="AV11" s="42"/>
      <c r="AW11" s="42"/>
      <c r="AX11" s="35"/>
      <c r="AY11" s="36"/>
      <c r="AZ11" s="36"/>
      <c r="BA11" s="36"/>
      <c r="BB11" s="36"/>
      <c r="BC11" s="36"/>
      <c r="BD11" s="35" t="e">
        <f t="shared" si="0"/>
        <v>#DIV/0!</v>
      </c>
      <c r="BE11" s="37">
        <v>666.67</v>
      </c>
      <c r="BF11" s="37">
        <v>74</v>
      </c>
      <c r="BG11" s="38"/>
      <c r="BH11" s="35"/>
      <c r="BI11" s="35"/>
      <c r="BJ11" s="35"/>
    </row>
    <row r="12" ht="84" spans="1:62">
      <c r="A12" s="28" t="s">
        <v>69</v>
      </c>
      <c r="B12" s="28">
        <v>8</v>
      </c>
      <c r="C12" s="29" t="s">
        <v>70</v>
      </c>
      <c r="D12" s="29" t="s">
        <v>86</v>
      </c>
      <c r="E12" s="29" t="s">
        <v>89</v>
      </c>
      <c r="F12" s="41"/>
      <c r="G12" s="30">
        <v>2</v>
      </c>
      <c r="H12" s="31" t="s">
        <v>73</v>
      </c>
      <c r="I12" s="32" t="s">
        <v>90</v>
      </c>
      <c r="J12" s="31">
        <v>2023</v>
      </c>
      <c r="K12" s="31">
        <v>2023</v>
      </c>
      <c r="L12" s="31" t="s">
        <v>75</v>
      </c>
      <c r="M12" s="33" t="s">
        <v>91</v>
      </c>
      <c r="N12" s="33">
        <v>22</v>
      </c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16"/>
      <c r="AJ12" s="42"/>
      <c r="AK12" s="42"/>
      <c r="AL12" s="42"/>
      <c r="AM12" s="42"/>
      <c r="AN12" s="42"/>
      <c r="AO12" s="42"/>
      <c r="AP12" s="42"/>
      <c r="AQ12" s="42"/>
      <c r="AR12" s="35"/>
      <c r="AS12" s="35"/>
      <c r="AT12" s="8">
        <v>8</v>
      </c>
      <c r="AU12" s="35"/>
      <c r="AV12" s="42"/>
      <c r="AW12" s="42"/>
      <c r="AX12" s="35"/>
      <c r="AY12" s="36"/>
      <c r="AZ12" s="36"/>
      <c r="BA12" s="36"/>
      <c r="BB12" s="36"/>
      <c r="BC12" s="36"/>
      <c r="BD12" s="35" t="e">
        <f t="shared" si="0"/>
        <v>#DIV/0!</v>
      </c>
      <c r="BE12" s="37">
        <v>666.67</v>
      </c>
      <c r="BF12" s="37">
        <v>74</v>
      </c>
      <c r="BG12" s="38"/>
      <c r="BH12" s="35"/>
      <c r="BI12" s="35"/>
      <c r="BJ12" s="35"/>
    </row>
    <row r="13" ht="84" spans="1:62">
      <c r="A13" s="28" t="s">
        <v>69</v>
      </c>
      <c r="B13" s="28">
        <v>9</v>
      </c>
      <c r="C13" s="29" t="s">
        <v>70</v>
      </c>
      <c r="D13" s="29" t="s">
        <v>86</v>
      </c>
      <c r="E13" s="29" t="s">
        <v>89</v>
      </c>
      <c r="F13" s="33"/>
      <c r="G13" s="30" t="s">
        <v>92</v>
      </c>
      <c r="H13" s="31" t="s">
        <v>73</v>
      </c>
      <c r="I13" s="32" t="s">
        <v>93</v>
      </c>
      <c r="J13" s="31">
        <v>2023</v>
      </c>
      <c r="K13" s="31">
        <v>2023</v>
      </c>
      <c r="L13" s="31" t="s">
        <v>75</v>
      </c>
      <c r="M13" s="33" t="s">
        <v>76</v>
      </c>
      <c r="N13" s="33">
        <v>17.04</v>
      </c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35"/>
      <c r="AS13" s="35"/>
      <c r="AT13" s="8">
        <v>9</v>
      </c>
      <c r="AU13" s="35"/>
      <c r="AV13" s="40"/>
      <c r="AW13" s="40"/>
      <c r="AX13" s="35"/>
      <c r="AY13" s="36"/>
      <c r="AZ13" s="36"/>
      <c r="BA13" s="36"/>
      <c r="BB13" s="36"/>
      <c r="BC13" s="36"/>
      <c r="BD13" s="35" t="e">
        <f t="shared" si="0"/>
        <v>#DIV/0!</v>
      </c>
      <c r="BE13" s="37">
        <v>666.67</v>
      </c>
      <c r="BF13" s="37">
        <v>74</v>
      </c>
      <c r="BG13" s="38"/>
      <c r="BH13" s="35"/>
      <c r="BI13" s="35"/>
      <c r="BJ13" s="35"/>
    </row>
    <row r="14" ht="84" spans="1:62">
      <c r="A14" s="28" t="s">
        <v>69</v>
      </c>
      <c r="B14" s="28">
        <v>10</v>
      </c>
      <c r="C14" s="29" t="s">
        <v>70</v>
      </c>
      <c r="D14" s="29" t="s">
        <v>86</v>
      </c>
      <c r="E14" s="29" t="s">
        <v>94</v>
      </c>
      <c r="F14" s="33"/>
      <c r="G14" s="30" t="s">
        <v>95</v>
      </c>
      <c r="H14" s="31" t="s">
        <v>73</v>
      </c>
      <c r="I14" s="32" t="s">
        <v>96</v>
      </c>
      <c r="J14" s="31">
        <v>2023</v>
      </c>
      <c r="K14" s="31">
        <v>2023</v>
      </c>
      <c r="L14" s="31" t="s">
        <v>75</v>
      </c>
      <c r="M14" s="33" t="s">
        <v>76</v>
      </c>
      <c r="N14" s="33">
        <v>9.52</v>
      </c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35"/>
      <c r="AS14" s="35"/>
      <c r="AT14" s="8">
        <v>10</v>
      </c>
      <c r="AU14" s="35"/>
      <c r="AV14" s="40"/>
      <c r="AW14" s="40"/>
      <c r="AX14" s="35"/>
      <c r="AY14" s="36"/>
      <c r="AZ14" s="36"/>
      <c r="BA14" s="36"/>
      <c r="BB14" s="36"/>
      <c r="BC14" s="36"/>
      <c r="BD14" s="35" t="e">
        <f t="shared" si="0"/>
        <v>#DIV/0!</v>
      </c>
      <c r="BE14" s="37">
        <v>666.67</v>
      </c>
      <c r="BF14" s="37">
        <v>74</v>
      </c>
      <c r="BG14" s="38"/>
      <c r="BH14" s="35"/>
      <c r="BI14" s="35"/>
      <c r="BJ14" s="35"/>
    </row>
    <row r="15" ht="84" spans="1:62">
      <c r="A15" s="28" t="s">
        <v>69</v>
      </c>
      <c r="B15" s="28">
        <v>11</v>
      </c>
      <c r="C15" s="29" t="s">
        <v>70</v>
      </c>
      <c r="D15" s="29" t="s">
        <v>86</v>
      </c>
      <c r="E15" s="29" t="s">
        <v>97</v>
      </c>
      <c r="F15" s="33"/>
      <c r="G15" s="30">
        <v>23</v>
      </c>
      <c r="H15" s="31" t="s">
        <v>73</v>
      </c>
      <c r="I15" s="32" t="s">
        <v>98</v>
      </c>
      <c r="J15" s="31">
        <v>2023</v>
      </c>
      <c r="K15" s="31">
        <v>2023</v>
      </c>
      <c r="L15" s="31" t="s">
        <v>75</v>
      </c>
      <c r="M15" s="33" t="s">
        <v>76</v>
      </c>
      <c r="N15" s="33">
        <v>16</v>
      </c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35"/>
      <c r="AS15" s="35"/>
      <c r="AT15" s="8">
        <v>11</v>
      </c>
      <c r="AU15" s="35"/>
      <c r="AV15" s="40"/>
      <c r="AW15" s="40"/>
      <c r="AX15" s="35"/>
      <c r="AY15" s="36"/>
      <c r="AZ15" s="36"/>
      <c r="BA15" s="36"/>
      <c r="BB15" s="36"/>
      <c r="BC15" s="36"/>
      <c r="BD15" s="35" t="e">
        <f t="shared" si="0"/>
        <v>#DIV/0!</v>
      </c>
      <c r="BE15" s="37">
        <v>666.67</v>
      </c>
      <c r="BF15" s="37">
        <v>74</v>
      </c>
      <c r="BG15" s="38"/>
      <c r="BH15" s="35"/>
      <c r="BI15" s="35"/>
      <c r="BJ15" s="35"/>
    </row>
    <row r="16" ht="84" spans="1:62">
      <c r="A16" s="28" t="s">
        <v>69</v>
      </c>
      <c r="B16" s="28">
        <v>12</v>
      </c>
      <c r="C16" s="29" t="s">
        <v>70</v>
      </c>
      <c r="D16" s="29" t="s">
        <v>99</v>
      </c>
      <c r="E16" s="29" t="s">
        <v>100</v>
      </c>
      <c r="F16" s="33"/>
      <c r="G16" s="30">
        <v>9</v>
      </c>
      <c r="H16" s="31" t="s">
        <v>73</v>
      </c>
      <c r="I16" s="32" t="s">
        <v>101</v>
      </c>
      <c r="J16" s="31">
        <v>2023</v>
      </c>
      <c r="K16" s="31">
        <v>2023</v>
      </c>
      <c r="L16" s="31" t="s">
        <v>102</v>
      </c>
      <c r="M16" s="33" t="s">
        <v>78</v>
      </c>
      <c r="N16" s="33">
        <v>84</v>
      </c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35"/>
      <c r="AS16" s="35"/>
      <c r="AT16" s="8">
        <v>12</v>
      </c>
      <c r="AU16" s="35"/>
      <c r="AV16" s="40"/>
      <c r="AW16" s="40"/>
      <c r="AX16" s="35"/>
      <c r="AY16" s="36"/>
      <c r="AZ16" s="36"/>
      <c r="BA16" s="36"/>
      <c r="BB16" s="36"/>
      <c r="BC16" s="36"/>
      <c r="BD16" s="35" t="e">
        <f t="shared" si="0"/>
        <v>#DIV/0!</v>
      </c>
      <c r="BE16" s="37">
        <v>666.67</v>
      </c>
      <c r="BF16" s="37">
        <v>74</v>
      </c>
      <c r="BG16" s="38"/>
      <c r="BH16" s="35"/>
      <c r="BI16" s="35"/>
      <c r="BJ16" s="35"/>
    </row>
    <row r="17" ht="84" spans="1:62">
      <c r="A17" s="28" t="s">
        <v>69</v>
      </c>
      <c r="B17" s="28">
        <v>13</v>
      </c>
      <c r="C17" s="29" t="s">
        <v>70</v>
      </c>
      <c r="D17" s="29" t="s">
        <v>99</v>
      </c>
      <c r="E17" s="29" t="s">
        <v>103</v>
      </c>
      <c r="F17" s="33"/>
      <c r="G17" s="30">
        <v>15</v>
      </c>
      <c r="H17" s="31" t="s">
        <v>73</v>
      </c>
      <c r="I17" s="32" t="s">
        <v>104</v>
      </c>
      <c r="J17" s="31">
        <v>2023</v>
      </c>
      <c r="K17" s="31">
        <v>2023</v>
      </c>
      <c r="L17" s="31" t="s">
        <v>102</v>
      </c>
      <c r="M17" s="33" t="s">
        <v>105</v>
      </c>
      <c r="N17" s="33">
        <v>199</v>
      </c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35"/>
      <c r="AS17" s="35"/>
      <c r="AT17" s="8">
        <v>13</v>
      </c>
      <c r="AU17" s="35"/>
      <c r="AV17" s="40"/>
      <c r="AW17" s="40"/>
      <c r="AX17" s="35"/>
      <c r="AY17" s="36"/>
      <c r="AZ17" s="36"/>
      <c r="BA17" s="36"/>
      <c r="BB17" s="36"/>
      <c r="BC17" s="36"/>
      <c r="BD17" s="35" t="e">
        <f t="shared" si="0"/>
        <v>#DIV/0!</v>
      </c>
      <c r="BE17" s="37">
        <v>666.67</v>
      </c>
      <c r="BF17" s="37">
        <v>74</v>
      </c>
      <c r="BG17" s="38"/>
      <c r="BH17" s="35"/>
      <c r="BI17" s="35"/>
      <c r="BJ17" s="35"/>
    </row>
    <row r="18" ht="84" spans="1:62">
      <c r="A18" s="28" t="s">
        <v>69</v>
      </c>
      <c r="B18" s="28">
        <v>14</v>
      </c>
      <c r="C18" s="29" t="s">
        <v>70</v>
      </c>
      <c r="D18" s="29" t="s">
        <v>99</v>
      </c>
      <c r="E18" s="29" t="s">
        <v>103</v>
      </c>
      <c r="F18" s="33"/>
      <c r="G18" s="30">
        <v>16</v>
      </c>
      <c r="H18" s="31" t="s">
        <v>73</v>
      </c>
      <c r="I18" s="32" t="s">
        <v>106</v>
      </c>
      <c r="J18" s="31">
        <v>2023</v>
      </c>
      <c r="K18" s="31">
        <v>2023</v>
      </c>
      <c r="L18" s="31" t="s">
        <v>102</v>
      </c>
      <c r="M18" s="33" t="s">
        <v>107</v>
      </c>
      <c r="N18" s="33">
        <v>106</v>
      </c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35"/>
      <c r="AS18" s="35"/>
      <c r="AT18" s="8">
        <v>14</v>
      </c>
      <c r="AU18" s="35"/>
      <c r="AV18" s="40"/>
      <c r="AW18" s="40"/>
      <c r="AX18" s="35"/>
      <c r="AY18" s="36"/>
      <c r="AZ18" s="36"/>
      <c r="BA18" s="36"/>
      <c r="BB18" s="36"/>
      <c r="BC18" s="36"/>
      <c r="BD18" s="35" t="e">
        <f t="shared" si="0"/>
        <v>#DIV/0!</v>
      </c>
      <c r="BE18" s="37">
        <v>666.67</v>
      </c>
      <c r="BF18" s="37">
        <v>74</v>
      </c>
      <c r="BG18" s="38"/>
      <c r="BH18" s="35"/>
      <c r="BI18" s="35"/>
      <c r="BJ18" s="35"/>
    </row>
    <row r="19" ht="84" spans="1:62">
      <c r="A19" s="28" t="s">
        <v>69</v>
      </c>
      <c r="B19" s="28">
        <v>15</v>
      </c>
      <c r="C19" s="29" t="s">
        <v>70</v>
      </c>
      <c r="D19" s="29" t="s">
        <v>99</v>
      </c>
      <c r="E19" s="29" t="s">
        <v>103</v>
      </c>
      <c r="F19" s="33"/>
      <c r="G19" s="30">
        <v>17</v>
      </c>
      <c r="H19" s="31" t="s">
        <v>73</v>
      </c>
      <c r="I19" s="32" t="s">
        <v>108</v>
      </c>
      <c r="J19" s="31">
        <v>2023</v>
      </c>
      <c r="K19" s="31">
        <v>2023</v>
      </c>
      <c r="L19" s="31" t="s">
        <v>75</v>
      </c>
      <c r="M19" s="33" t="s">
        <v>80</v>
      </c>
      <c r="N19" s="33">
        <v>27</v>
      </c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35"/>
      <c r="AS19" s="35"/>
      <c r="AT19" s="8">
        <v>15</v>
      </c>
      <c r="AU19" s="35"/>
      <c r="AV19" s="40"/>
      <c r="AW19" s="40"/>
      <c r="AX19" s="35"/>
      <c r="AY19" s="36"/>
      <c r="AZ19" s="36"/>
      <c r="BA19" s="36"/>
      <c r="BB19" s="36"/>
      <c r="BC19" s="36"/>
      <c r="BD19" s="35" t="e">
        <f t="shared" si="0"/>
        <v>#DIV/0!</v>
      </c>
      <c r="BE19" s="37">
        <v>666.67</v>
      </c>
      <c r="BF19" s="37">
        <v>74</v>
      </c>
      <c r="BG19" s="38"/>
      <c r="BH19" s="35"/>
      <c r="BI19" s="35"/>
      <c r="BJ19" s="35"/>
    </row>
    <row r="20" ht="84" spans="1:62">
      <c r="A20" s="28" t="s">
        <v>69</v>
      </c>
      <c r="B20" s="28">
        <v>16</v>
      </c>
      <c r="C20" s="29" t="s">
        <v>70</v>
      </c>
      <c r="D20" s="29" t="s">
        <v>99</v>
      </c>
      <c r="E20" s="29" t="s">
        <v>103</v>
      </c>
      <c r="F20" s="33"/>
      <c r="G20" s="30">
        <v>18</v>
      </c>
      <c r="H20" s="31" t="s">
        <v>73</v>
      </c>
      <c r="I20" s="32" t="s">
        <v>109</v>
      </c>
      <c r="J20" s="31">
        <v>2023</v>
      </c>
      <c r="K20" s="31">
        <v>2023</v>
      </c>
      <c r="L20" s="31" t="s">
        <v>75</v>
      </c>
      <c r="M20" s="33" t="s">
        <v>80</v>
      </c>
      <c r="N20" s="33">
        <v>20</v>
      </c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35"/>
      <c r="AS20" s="35"/>
      <c r="AT20" s="8">
        <v>16</v>
      </c>
      <c r="AU20" s="35"/>
      <c r="AV20" s="40"/>
      <c r="AW20" s="40"/>
      <c r="AX20" s="35"/>
      <c r="AY20" s="36"/>
      <c r="AZ20" s="36"/>
      <c r="BA20" s="36"/>
      <c r="BB20" s="36"/>
      <c r="BC20" s="36"/>
      <c r="BD20" s="35" t="e">
        <f t="shared" si="0"/>
        <v>#DIV/0!</v>
      </c>
      <c r="BE20" s="37">
        <v>666.67</v>
      </c>
      <c r="BF20" s="37">
        <v>111</v>
      </c>
      <c r="BG20" s="38"/>
      <c r="BH20" s="35"/>
      <c r="BI20" s="35"/>
      <c r="BJ20" s="35"/>
    </row>
    <row r="21" ht="84" spans="1:62">
      <c r="A21" s="28" t="s">
        <v>69</v>
      </c>
      <c r="B21" s="28">
        <v>17</v>
      </c>
      <c r="C21" s="29" t="s">
        <v>70</v>
      </c>
      <c r="D21" s="29" t="s">
        <v>99</v>
      </c>
      <c r="E21" s="29" t="s">
        <v>103</v>
      </c>
      <c r="F21" s="33"/>
      <c r="G21" s="30">
        <v>20</v>
      </c>
      <c r="H21" s="31" t="s">
        <v>73</v>
      </c>
      <c r="I21" s="32" t="s">
        <v>110</v>
      </c>
      <c r="J21" s="31">
        <v>2023</v>
      </c>
      <c r="K21" s="31">
        <v>2023</v>
      </c>
      <c r="L21" s="31" t="s">
        <v>75</v>
      </c>
      <c r="M21" s="33" t="s">
        <v>80</v>
      </c>
      <c r="N21" s="33">
        <v>90</v>
      </c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35"/>
      <c r="AS21" s="35"/>
      <c r="AT21" s="8">
        <v>17</v>
      </c>
      <c r="AU21" s="35"/>
      <c r="AV21" s="40"/>
      <c r="AW21" s="40"/>
      <c r="AX21" s="35"/>
      <c r="AY21" s="36"/>
      <c r="AZ21" s="36"/>
      <c r="BA21" s="36"/>
      <c r="BB21" s="36"/>
      <c r="BC21" s="36"/>
      <c r="BD21" s="35" t="e">
        <f t="shared" si="0"/>
        <v>#DIV/0!</v>
      </c>
      <c r="BE21" s="37">
        <v>666.67</v>
      </c>
      <c r="BF21" s="37">
        <v>74</v>
      </c>
      <c r="BG21" s="38"/>
      <c r="BH21" s="35"/>
      <c r="BI21" s="35"/>
      <c r="BJ21" s="35"/>
    </row>
    <row r="22" ht="84" spans="1:62">
      <c r="A22" s="28" t="s">
        <v>69</v>
      </c>
      <c r="B22" s="28">
        <v>18</v>
      </c>
      <c r="C22" s="29" t="s">
        <v>70</v>
      </c>
      <c r="D22" s="29" t="s">
        <v>99</v>
      </c>
      <c r="E22" s="29" t="s">
        <v>103</v>
      </c>
      <c r="F22" s="33"/>
      <c r="G22" s="30">
        <v>21</v>
      </c>
      <c r="H22" s="31" t="s">
        <v>73</v>
      </c>
      <c r="I22" s="32" t="s">
        <v>111</v>
      </c>
      <c r="J22" s="31">
        <v>2023</v>
      </c>
      <c r="K22" s="31">
        <v>2023</v>
      </c>
      <c r="L22" s="31" t="s">
        <v>75</v>
      </c>
      <c r="M22" s="33" t="s">
        <v>76</v>
      </c>
      <c r="N22" s="33">
        <v>30</v>
      </c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35"/>
      <c r="AS22" s="35"/>
      <c r="AT22" s="8">
        <v>18</v>
      </c>
      <c r="AU22" s="35"/>
      <c r="AV22" s="40"/>
      <c r="AW22" s="40"/>
      <c r="AX22" s="35"/>
      <c r="AY22" s="36"/>
      <c r="AZ22" s="36"/>
      <c r="BA22" s="36"/>
      <c r="BB22" s="36"/>
      <c r="BC22" s="36"/>
      <c r="BD22" s="35" t="e">
        <f t="shared" si="0"/>
        <v>#DIV/0!</v>
      </c>
      <c r="BE22" s="37">
        <v>666.67</v>
      </c>
      <c r="BF22" s="37">
        <v>74</v>
      </c>
      <c r="BG22" s="38"/>
      <c r="BH22" s="35"/>
      <c r="BI22" s="35"/>
      <c r="BJ22" s="35"/>
    </row>
    <row r="23" ht="84" spans="1:62">
      <c r="A23" s="28" t="s">
        <v>69</v>
      </c>
      <c r="B23" s="28">
        <v>19</v>
      </c>
      <c r="C23" s="29" t="s">
        <v>70</v>
      </c>
      <c r="D23" s="29" t="s">
        <v>99</v>
      </c>
      <c r="E23" s="29" t="s">
        <v>103</v>
      </c>
      <c r="F23" s="33"/>
      <c r="G23" s="30">
        <v>22</v>
      </c>
      <c r="H23" s="31" t="s">
        <v>73</v>
      </c>
      <c r="I23" s="32" t="s">
        <v>112</v>
      </c>
      <c r="J23" s="31">
        <v>2023</v>
      </c>
      <c r="K23" s="31">
        <v>2023</v>
      </c>
      <c r="L23" s="31" t="s">
        <v>75</v>
      </c>
      <c r="M23" s="33" t="s">
        <v>80</v>
      </c>
      <c r="N23" s="33">
        <v>13</v>
      </c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35"/>
      <c r="AS23" s="35"/>
      <c r="AT23" s="8">
        <v>19</v>
      </c>
      <c r="AU23" s="35"/>
      <c r="AV23" s="40"/>
      <c r="AW23" s="40"/>
      <c r="AX23" s="35"/>
      <c r="AY23" s="36"/>
      <c r="AZ23" s="36"/>
      <c r="BA23" s="36"/>
      <c r="BB23" s="36"/>
      <c r="BC23" s="36"/>
      <c r="BD23" s="35" t="e">
        <f t="shared" si="0"/>
        <v>#DIV/0!</v>
      </c>
      <c r="BE23" s="37">
        <v>666.67</v>
      </c>
      <c r="BF23" s="37">
        <v>74</v>
      </c>
      <c r="BG23" s="38"/>
      <c r="BH23" s="35"/>
      <c r="BI23" s="35"/>
      <c r="BJ23" s="35"/>
    </row>
    <row r="24" ht="84" spans="1:62">
      <c r="A24" s="28" t="s">
        <v>69</v>
      </c>
      <c r="B24" s="28">
        <v>20</v>
      </c>
      <c r="C24" s="29" t="s">
        <v>70</v>
      </c>
      <c r="D24" s="29" t="s">
        <v>99</v>
      </c>
      <c r="E24" s="29" t="s">
        <v>103</v>
      </c>
      <c r="F24" s="33"/>
      <c r="G24" s="30">
        <v>26</v>
      </c>
      <c r="H24" s="31" t="s">
        <v>73</v>
      </c>
      <c r="I24" s="32" t="s">
        <v>113</v>
      </c>
      <c r="J24" s="31">
        <v>2023</v>
      </c>
      <c r="K24" s="31">
        <v>2023</v>
      </c>
      <c r="L24" s="31" t="s">
        <v>75</v>
      </c>
      <c r="M24" s="33" t="s">
        <v>76</v>
      </c>
      <c r="N24" s="33">
        <v>47</v>
      </c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35"/>
      <c r="AS24" s="35"/>
      <c r="AT24" s="8">
        <v>20</v>
      </c>
      <c r="AU24" s="35"/>
      <c r="AV24" s="40"/>
      <c r="AW24" s="40"/>
      <c r="AX24" s="35"/>
      <c r="AY24" s="36"/>
      <c r="AZ24" s="36"/>
      <c r="BA24" s="36"/>
      <c r="BB24" s="36"/>
      <c r="BC24" s="36"/>
      <c r="BD24" s="35" t="e">
        <f t="shared" si="0"/>
        <v>#DIV/0!</v>
      </c>
      <c r="BE24" s="37">
        <v>666.67</v>
      </c>
      <c r="BF24" s="37">
        <v>74</v>
      </c>
      <c r="BG24" s="38"/>
      <c r="BH24" s="35"/>
      <c r="BI24" s="35"/>
      <c r="BJ24" s="35"/>
    </row>
    <row r="25" ht="84" spans="1:62">
      <c r="A25" s="28" t="s">
        <v>69</v>
      </c>
      <c r="B25" s="28">
        <v>21</v>
      </c>
      <c r="C25" s="29" t="s">
        <v>70</v>
      </c>
      <c r="D25" s="29" t="s">
        <v>99</v>
      </c>
      <c r="E25" s="29" t="s">
        <v>114</v>
      </c>
      <c r="F25" s="33"/>
      <c r="G25" s="30">
        <v>41</v>
      </c>
      <c r="H25" s="31" t="s">
        <v>73</v>
      </c>
      <c r="I25" s="32" t="s">
        <v>115</v>
      </c>
      <c r="J25" s="31">
        <v>2023</v>
      </c>
      <c r="K25" s="31">
        <v>2023</v>
      </c>
      <c r="L25" s="31" t="s">
        <v>75</v>
      </c>
      <c r="M25" s="33" t="s">
        <v>80</v>
      </c>
      <c r="N25" s="33">
        <v>14</v>
      </c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35"/>
      <c r="AS25" s="35"/>
      <c r="AT25" s="8">
        <v>21</v>
      </c>
      <c r="AU25" s="35"/>
      <c r="AV25" s="40"/>
      <c r="AW25" s="40"/>
      <c r="AX25" s="35"/>
      <c r="AY25" s="36"/>
      <c r="AZ25" s="36"/>
      <c r="BA25" s="36"/>
      <c r="BB25" s="36"/>
      <c r="BC25" s="36"/>
      <c r="BD25" s="35" t="e">
        <f t="shared" si="0"/>
        <v>#DIV/0!</v>
      </c>
      <c r="BE25" s="37">
        <v>666.67</v>
      </c>
      <c r="BF25" s="37">
        <v>111</v>
      </c>
      <c r="BG25" s="38"/>
      <c r="BH25" s="35"/>
      <c r="BI25" s="35"/>
      <c r="BJ25" s="35"/>
    </row>
    <row r="26" ht="84" spans="1:62">
      <c r="A26" s="28" t="s">
        <v>69</v>
      </c>
      <c r="B26" s="28">
        <v>22</v>
      </c>
      <c r="C26" s="29" t="s">
        <v>70</v>
      </c>
      <c r="D26" s="29" t="s">
        <v>99</v>
      </c>
      <c r="E26" s="29" t="s">
        <v>116</v>
      </c>
      <c r="F26" s="33"/>
      <c r="G26" s="30">
        <v>6</v>
      </c>
      <c r="H26" s="31" t="s">
        <v>73</v>
      </c>
      <c r="I26" s="32" t="s">
        <v>117</v>
      </c>
      <c r="J26" s="31">
        <v>2023</v>
      </c>
      <c r="K26" s="31">
        <v>2023</v>
      </c>
      <c r="L26" s="31" t="s">
        <v>75</v>
      </c>
      <c r="M26" s="33" t="s">
        <v>118</v>
      </c>
      <c r="N26" s="33">
        <v>85</v>
      </c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35"/>
      <c r="AS26" s="35"/>
      <c r="AT26" s="8">
        <v>22</v>
      </c>
      <c r="AU26" s="35"/>
      <c r="AV26" s="40"/>
      <c r="AW26" s="40"/>
      <c r="AX26" s="35"/>
      <c r="AY26" s="36"/>
      <c r="AZ26" s="36"/>
      <c r="BA26" s="36"/>
      <c r="BB26" s="36"/>
      <c r="BC26" s="36"/>
      <c r="BD26" s="35" t="e">
        <f t="shared" si="0"/>
        <v>#DIV/0!</v>
      </c>
      <c r="BE26" s="37">
        <v>666.67</v>
      </c>
      <c r="BF26" s="37">
        <v>74</v>
      </c>
      <c r="BG26" s="38"/>
      <c r="BH26" s="35"/>
      <c r="BI26" s="35"/>
      <c r="BJ26" s="35"/>
    </row>
    <row r="27" ht="84" spans="1:62">
      <c r="A27" s="28" t="s">
        <v>69</v>
      </c>
      <c r="B27" s="28">
        <v>23</v>
      </c>
      <c r="C27" s="29" t="s">
        <v>70</v>
      </c>
      <c r="D27" s="29" t="s">
        <v>99</v>
      </c>
      <c r="E27" s="29" t="s">
        <v>116</v>
      </c>
      <c r="F27" s="33"/>
      <c r="G27" s="30">
        <v>7</v>
      </c>
      <c r="H27" s="31" t="s">
        <v>73</v>
      </c>
      <c r="I27" s="32" t="s">
        <v>119</v>
      </c>
      <c r="J27" s="31">
        <v>2023</v>
      </c>
      <c r="K27" s="31">
        <v>2023</v>
      </c>
      <c r="L27" s="31" t="s">
        <v>75</v>
      </c>
      <c r="M27" s="33" t="s">
        <v>78</v>
      </c>
      <c r="N27" s="33">
        <v>49</v>
      </c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35"/>
      <c r="AS27" s="35"/>
      <c r="AT27" s="8">
        <v>23</v>
      </c>
      <c r="AU27" s="35"/>
      <c r="AV27" s="40"/>
      <c r="AW27" s="40"/>
      <c r="AX27" s="35"/>
      <c r="AY27" s="36"/>
      <c r="AZ27" s="36"/>
      <c r="BA27" s="36"/>
      <c r="BB27" s="36"/>
      <c r="BC27" s="36"/>
      <c r="BD27" s="35" t="e">
        <f t="shared" si="0"/>
        <v>#DIV/0!</v>
      </c>
      <c r="BE27" s="37">
        <v>666.67</v>
      </c>
      <c r="BF27" s="37">
        <v>74</v>
      </c>
      <c r="BG27" s="38"/>
      <c r="BH27" s="35"/>
      <c r="BI27" s="35"/>
      <c r="BJ27" s="35"/>
    </row>
    <row r="28" ht="84" spans="1:62">
      <c r="A28" s="28" t="s">
        <v>69</v>
      </c>
      <c r="B28" s="28">
        <v>24</v>
      </c>
      <c r="C28" s="29" t="s">
        <v>70</v>
      </c>
      <c r="D28" s="29" t="s">
        <v>99</v>
      </c>
      <c r="E28" s="29" t="s">
        <v>116</v>
      </c>
      <c r="F28" s="33"/>
      <c r="G28" s="30">
        <v>8</v>
      </c>
      <c r="H28" s="31" t="s">
        <v>73</v>
      </c>
      <c r="I28" s="32" t="s">
        <v>120</v>
      </c>
      <c r="J28" s="31">
        <v>2023</v>
      </c>
      <c r="K28" s="31">
        <v>2023</v>
      </c>
      <c r="L28" s="31" t="s">
        <v>75</v>
      </c>
      <c r="M28" s="33" t="s">
        <v>78</v>
      </c>
      <c r="N28" s="33">
        <v>66</v>
      </c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35"/>
      <c r="AS28" s="35"/>
      <c r="AT28" s="8">
        <v>24</v>
      </c>
      <c r="AU28" s="35"/>
      <c r="AV28" s="40"/>
      <c r="AW28" s="40"/>
      <c r="AX28" s="35"/>
      <c r="AY28" s="36"/>
      <c r="AZ28" s="36"/>
      <c r="BA28" s="36"/>
      <c r="BB28" s="36"/>
      <c r="BC28" s="36"/>
      <c r="BD28" s="35" t="e">
        <f t="shared" si="0"/>
        <v>#DIV/0!</v>
      </c>
      <c r="BE28" s="37">
        <v>666.67</v>
      </c>
      <c r="BF28" s="37">
        <v>74</v>
      </c>
      <c r="BG28" s="38"/>
      <c r="BH28" s="35"/>
      <c r="BI28" s="35"/>
      <c r="BJ28" s="35"/>
    </row>
    <row r="29" ht="84" spans="1:62">
      <c r="A29" s="28" t="s">
        <v>69</v>
      </c>
      <c r="B29" s="28">
        <v>25</v>
      </c>
      <c r="C29" s="29" t="s">
        <v>70</v>
      </c>
      <c r="D29" s="29" t="s">
        <v>99</v>
      </c>
      <c r="E29" s="29" t="s">
        <v>121</v>
      </c>
      <c r="F29" s="33"/>
      <c r="G29" s="30">
        <v>25</v>
      </c>
      <c r="H29" s="31" t="s">
        <v>73</v>
      </c>
      <c r="I29" s="32" t="s">
        <v>122</v>
      </c>
      <c r="J29" s="31">
        <v>2023</v>
      </c>
      <c r="K29" s="31">
        <v>2023</v>
      </c>
      <c r="L29" s="31" t="s">
        <v>75</v>
      </c>
      <c r="M29" s="33" t="s">
        <v>76</v>
      </c>
      <c r="N29" s="33">
        <v>244</v>
      </c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35"/>
      <c r="AS29" s="35"/>
      <c r="AT29" s="8">
        <v>25</v>
      </c>
      <c r="AU29" s="35"/>
      <c r="AV29" s="40"/>
      <c r="AW29" s="40"/>
      <c r="AX29" s="35"/>
      <c r="AY29" s="36"/>
      <c r="AZ29" s="36"/>
      <c r="BA29" s="36"/>
      <c r="BB29" s="36"/>
      <c r="BC29" s="36"/>
      <c r="BD29" s="35" t="e">
        <f t="shared" si="0"/>
        <v>#DIV/0!</v>
      </c>
      <c r="BE29" s="37">
        <v>666.67</v>
      </c>
      <c r="BF29" s="37">
        <v>60</v>
      </c>
      <c r="BG29" s="38"/>
      <c r="BH29" s="35"/>
      <c r="BI29" s="35"/>
      <c r="BJ29" s="35"/>
    </row>
    <row r="30" ht="84" spans="1:62">
      <c r="A30" s="28" t="s">
        <v>69</v>
      </c>
      <c r="B30" s="28">
        <v>26</v>
      </c>
      <c r="C30" s="29" t="s">
        <v>70</v>
      </c>
      <c r="D30" s="29" t="s">
        <v>99</v>
      </c>
      <c r="E30" s="29" t="s">
        <v>121</v>
      </c>
      <c r="F30" s="33"/>
      <c r="G30" s="30">
        <v>29</v>
      </c>
      <c r="H30" s="31" t="s">
        <v>73</v>
      </c>
      <c r="I30" s="32" t="s">
        <v>123</v>
      </c>
      <c r="J30" s="31">
        <v>2023</v>
      </c>
      <c r="K30" s="31">
        <v>2023</v>
      </c>
      <c r="L30" s="31" t="s">
        <v>75</v>
      </c>
      <c r="M30" s="33" t="s">
        <v>80</v>
      </c>
      <c r="N30" s="33">
        <v>10</v>
      </c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35"/>
      <c r="AS30" s="35"/>
      <c r="AT30" s="8">
        <v>26</v>
      </c>
      <c r="AU30" s="35"/>
      <c r="AV30" s="40"/>
      <c r="AW30" s="40"/>
      <c r="AX30" s="35"/>
      <c r="AY30" s="36"/>
      <c r="AZ30" s="36"/>
      <c r="BA30" s="36"/>
      <c r="BB30" s="36"/>
      <c r="BC30" s="36"/>
      <c r="BD30" s="35" t="e">
        <f t="shared" si="0"/>
        <v>#DIV/0!</v>
      </c>
      <c r="BE30" s="37">
        <v>666.67</v>
      </c>
      <c r="BF30" s="37">
        <v>60</v>
      </c>
      <c r="BG30" s="38"/>
      <c r="BH30" s="35"/>
      <c r="BI30" s="35"/>
      <c r="BJ30" s="35"/>
    </row>
    <row r="31" ht="84" spans="1:62">
      <c r="A31" s="28" t="s">
        <v>69</v>
      </c>
      <c r="B31" s="28">
        <v>27</v>
      </c>
      <c r="C31" s="29" t="s">
        <v>70</v>
      </c>
      <c r="D31" s="29" t="s">
        <v>99</v>
      </c>
      <c r="E31" s="29" t="s">
        <v>124</v>
      </c>
      <c r="F31" s="33"/>
      <c r="G31" s="30">
        <v>31</v>
      </c>
      <c r="H31" s="31" t="s">
        <v>73</v>
      </c>
      <c r="I31" s="32" t="s">
        <v>125</v>
      </c>
      <c r="J31" s="31">
        <v>2023</v>
      </c>
      <c r="K31" s="31">
        <v>2023</v>
      </c>
      <c r="L31" s="31" t="s">
        <v>75</v>
      </c>
      <c r="M31" s="33" t="s">
        <v>76</v>
      </c>
      <c r="N31" s="33">
        <v>29</v>
      </c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35"/>
      <c r="AS31" s="35"/>
      <c r="AT31" s="8">
        <v>27</v>
      </c>
      <c r="AU31" s="35"/>
      <c r="AV31" s="40"/>
      <c r="AW31" s="40"/>
      <c r="AX31" s="35"/>
      <c r="AY31" s="36"/>
      <c r="AZ31" s="36"/>
      <c r="BA31" s="36"/>
      <c r="BB31" s="36"/>
      <c r="BC31" s="36"/>
      <c r="BD31" s="35" t="e">
        <f t="shared" si="0"/>
        <v>#DIV/0!</v>
      </c>
      <c r="BE31" s="37">
        <v>666.67</v>
      </c>
      <c r="BF31" s="37">
        <v>111</v>
      </c>
      <c r="BG31" s="38"/>
      <c r="BH31" s="35"/>
      <c r="BI31" s="35"/>
      <c r="BJ31" s="35"/>
    </row>
    <row r="32" ht="84" spans="1:62">
      <c r="A32" s="28" t="s">
        <v>69</v>
      </c>
      <c r="B32" s="28">
        <v>28</v>
      </c>
      <c r="C32" s="29" t="s">
        <v>70</v>
      </c>
      <c r="D32" s="29" t="s">
        <v>99</v>
      </c>
      <c r="E32" s="29" t="s">
        <v>124</v>
      </c>
      <c r="F32" s="33"/>
      <c r="G32" s="30">
        <v>38</v>
      </c>
      <c r="H32" s="31" t="s">
        <v>73</v>
      </c>
      <c r="I32" s="32" t="s">
        <v>126</v>
      </c>
      <c r="J32" s="31">
        <v>2023</v>
      </c>
      <c r="K32" s="31">
        <v>2023</v>
      </c>
      <c r="L32" s="31" t="s">
        <v>75</v>
      </c>
      <c r="M32" s="33" t="s">
        <v>76</v>
      </c>
      <c r="N32" s="33">
        <v>10</v>
      </c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35"/>
      <c r="AS32" s="35"/>
      <c r="AT32" s="8">
        <v>28</v>
      </c>
      <c r="AU32" s="35"/>
      <c r="AV32" s="40"/>
      <c r="AW32" s="40"/>
      <c r="AX32" s="35"/>
      <c r="AY32" s="36"/>
      <c r="AZ32" s="36"/>
      <c r="BA32" s="36"/>
      <c r="BB32" s="36"/>
      <c r="BC32" s="36"/>
      <c r="BD32" s="35" t="e">
        <f t="shared" si="0"/>
        <v>#DIV/0!</v>
      </c>
      <c r="BE32" s="37">
        <v>666.67</v>
      </c>
      <c r="BF32" s="37">
        <v>74</v>
      </c>
      <c r="BG32" s="38"/>
      <c r="BH32" s="35"/>
      <c r="BI32" s="35"/>
      <c r="BJ32" s="35"/>
    </row>
    <row r="33" ht="84" spans="1:62">
      <c r="A33" s="28" t="s">
        <v>69</v>
      </c>
      <c r="B33" s="28">
        <v>29</v>
      </c>
      <c r="C33" s="29" t="s">
        <v>70</v>
      </c>
      <c r="D33" s="29" t="s">
        <v>99</v>
      </c>
      <c r="E33" s="29" t="s">
        <v>127</v>
      </c>
      <c r="F33" s="33"/>
      <c r="G33" s="30">
        <v>1</v>
      </c>
      <c r="H33" s="31" t="s">
        <v>73</v>
      </c>
      <c r="I33" s="32" t="s">
        <v>128</v>
      </c>
      <c r="J33" s="31">
        <v>2023</v>
      </c>
      <c r="K33" s="31">
        <v>2023</v>
      </c>
      <c r="L33" s="31" t="s">
        <v>75</v>
      </c>
      <c r="M33" s="33" t="s">
        <v>80</v>
      </c>
      <c r="N33" s="33">
        <v>10</v>
      </c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35"/>
      <c r="AS33" s="35"/>
      <c r="AT33" s="8">
        <v>29</v>
      </c>
      <c r="AU33" s="35"/>
      <c r="AV33" s="40"/>
      <c r="AW33" s="40"/>
      <c r="AX33" s="35"/>
      <c r="AY33" s="36"/>
      <c r="AZ33" s="36"/>
      <c r="BA33" s="36"/>
      <c r="BB33" s="36"/>
      <c r="BC33" s="36"/>
      <c r="BD33" s="35" t="e">
        <f t="shared" si="0"/>
        <v>#DIV/0!</v>
      </c>
      <c r="BE33" s="37">
        <v>666.67</v>
      </c>
      <c r="BF33" s="37">
        <v>74</v>
      </c>
      <c r="BG33" s="38"/>
      <c r="BH33" s="35"/>
      <c r="BI33" s="35"/>
      <c r="BJ33" s="35"/>
    </row>
    <row r="34" ht="84" spans="1:62">
      <c r="A34" s="28" t="s">
        <v>69</v>
      </c>
      <c r="B34" s="28">
        <v>30</v>
      </c>
      <c r="C34" s="29" t="s">
        <v>70</v>
      </c>
      <c r="D34" s="29" t="s">
        <v>99</v>
      </c>
      <c r="E34" s="29" t="s">
        <v>129</v>
      </c>
      <c r="F34" s="33"/>
      <c r="G34" s="30">
        <v>11</v>
      </c>
      <c r="H34" s="31" t="s">
        <v>73</v>
      </c>
      <c r="I34" s="32" t="s">
        <v>130</v>
      </c>
      <c r="J34" s="31">
        <v>2023</v>
      </c>
      <c r="K34" s="31">
        <v>2023</v>
      </c>
      <c r="L34" s="31" t="s">
        <v>75</v>
      </c>
      <c r="M34" s="33" t="s">
        <v>131</v>
      </c>
      <c r="N34" s="33">
        <v>45</v>
      </c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35"/>
      <c r="AS34" s="35"/>
      <c r="AT34" s="8">
        <v>30</v>
      </c>
      <c r="AU34" s="35"/>
      <c r="AV34" s="40"/>
      <c r="AW34" s="40"/>
      <c r="AX34" s="35"/>
      <c r="AY34" s="36"/>
      <c r="AZ34" s="36"/>
      <c r="BA34" s="36"/>
      <c r="BB34" s="36"/>
      <c r="BC34" s="36"/>
      <c r="BD34" s="35" t="e">
        <f t="shared" si="0"/>
        <v>#DIV/0!</v>
      </c>
      <c r="BE34" s="37">
        <v>666.67</v>
      </c>
      <c r="BF34" s="37">
        <v>111</v>
      </c>
      <c r="BG34" s="38"/>
      <c r="BH34" s="35"/>
      <c r="BI34" s="35"/>
      <c r="BJ34" s="35"/>
    </row>
    <row r="35" ht="84" spans="1:62">
      <c r="A35" s="28" t="s">
        <v>69</v>
      </c>
      <c r="B35" s="28">
        <v>31</v>
      </c>
      <c r="C35" s="29" t="s">
        <v>70</v>
      </c>
      <c r="D35" s="29" t="s">
        <v>99</v>
      </c>
      <c r="E35" s="29" t="s">
        <v>132</v>
      </c>
      <c r="F35" s="33"/>
      <c r="G35" s="30">
        <v>32</v>
      </c>
      <c r="H35" s="31" t="s">
        <v>73</v>
      </c>
      <c r="I35" s="32" t="s">
        <v>133</v>
      </c>
      <c r="J35" s="31">
        <v>2023</v>
      </c>
      <c r="K35" s="31">
        <v>2023</v>
      </c>
      <c r="L35" s="31" t="s">
        <v>75</v>
      </c>
      <c r="M35" s="33" t="s">
        <v>105</v>
      </c>
      <c r="N35" s="33">
        <v>119</v>
      </c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35"/>
      <c r="AS35" s="35"/>
      <c r="AT35" s="8">
        <v>31</v>
      </c>
      <c r="AU35" s="35"/>
      <c r="AV35" s="40"/>
      <c r="AW35" s="40"/>
      <c r="AX35" s="35"/>
      <c r="AY35" s="36"/>
      <c r="AZ35" s="36"/>
      <c r="BA35" s="36"/>
      <c r="BB35" s="36"/>
      <c r="BC35" s="36"/>
      <c r="BD35" s="35" t="e">
        <f t="shared" si="0"/>
        <v>#DIV/0!</v>
      </c>
      <c r="BE35" s="37">
        <v>666.67</v>
      </c>
      <c r="BF35" s="37">
        <v>74</v>
      </c>
      <c r="BG35" s="38"/>
      <c r="BH35" s="35"/>
      <c r="BI35" s="35"/>
      <c r="BJ35" s="35"/>
    </row>
    <row r="36" ht="84" spans="1:62">
      <c r="A36" s="28" t="s">
        <v>69</v>
      </c>
      <c r="B36" s="28">
        <v>32</v>
      </c>
      <c r="C36" s="29" t="s">
        <v>70</v>
      </c>
      <c r="D36" s="29" t="s">
        <v>99</v>
      </c>
      <c r="E36" s="29" t="s">
        <v>132</v>
      </c>
      <c r="F36" s="33"/>
      <c r="G36" s="30">
        <v>33</v>
      </c>
      <c r="H36" s="31" t="s">
        <v>73</v>
      </c>
      <c r="I36" s="32" t="s">
        <v>134</v>
      </c>
      <c r="J36" s="31">
        <v>2023</v>
      </c>
      <c r="K36" s="31">
        <v>2023</v>
      </c>
      <c r="L36" s="31" t="s">
        <v>75</v>
      </c>
      <c r="M36" s="33" t="s">
        <v>105</v>
      </c>
      <c r="N36" s="33">
        <v>32</v>
      </c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35"/>
      <c r="AS36" s="35"/>
      <c r="AT36" s="8">
        <v>32</v>
      </c>
      <c r="AU36" s="35"/>
      <c r="AV36" s="40"/>
      <c r="AW36" s="40"/>
      <c r="AX36" s="35"/>
      <c r="AY36" s="36"/>
      <c r="AZ36" s="36"/>
      <c r="BA36" s="36"/>
      <c r="BB36" s="36"/>
      <c r="BC36" s="36"/>
      <c r="BD36" s="35" t="e">
        <f t="shared" si="0"/>
        <v>#DIV/0!</v>
      </c>
      <c r="BE36" s="37">
        <v>666.67</v>
      </c>
      <c r="BF36" s="37">
        <v>74</v>
      </c>
      <c r="BG36" s="38"/>
      <c r="BH36" s="35"/>
      <c r="BI36" s="35"/>
      <c r="BJ36" s="35"/>
    </row>
    <row r="37" ht="84" spans="1:62">
      <c r="A37" s="28" t="s">
        <v>69</v>
      </c>
      <c r="B37" s="28">
        <v>33</v>
      </c>
      <c r="C37" s="29" t="s">
        <v>70</v>
      </c>
      <c r="D37" s="29" t="s">
        <v>99</v>
      </c>
      <c r="E37" s="29" t="s">
        <v>132</v>
      </c>
      <c r="F37" s="33"/>
      <c r="G37" s="30">
        <v>35</v>
      </c>
      <c r="H37" s="31" t="s">
        <v>73</v>
      </c>
      <c r="I37" s="32" t="s">
        <v>135</v>
      </c>
      <c r="J37" s="31">
        <v>2023</v>
      </c>
      <c r="K37" s="31">
        <v>2023</v>
      </c>
      <c r="L37" s="31" t="s">
        <v>75</v>
      </c>
      <c r="M37" s="33" t="s">
        <v>105</v>
      </c>
      <c r="N37" s="33">
        <v>59</v>
      </c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35"/>
      <c r="AS37" s="35"/>
      <c r="AT37" s="8">
        <v>33</v>
      </c>
      <c r="AU37" s="35"/>
      <c r="AV37" s="40"/>
      <c r="AW37" s="40"/>
      <c r="AX37" s="35"/>
      <c r="AY37" s="36"/>
      <c r="AZ37" s="36"/>
      <c r="BA37" s="36"/>
      <c r="BB37" s="36"/>
      <c r="BC37" s="36"/>
      <c r="BD37" s="35" t="e">
        <f t="shared" si="0"/>
        <v>#DIV/0!</v>
      </c>
      <c r="BE37" s="37">
        <v>666.67</v>
      </c>
      <c r="BF37" s="37">
        <v>74</v>
      </c>
      <c r="BG37" s="38"/>
      <c r="BH37" s="35"/>
      <c r="BI37" s="35"/>
      <c r="BJ37" s="35"/>
    </row>
    <row r="38" ht="84" spans="1:62">
      <c r="A38" s="28" t="s">
        <v>69</v>
      </c>
      <c r="B38" s="28">
        <v>34</v>
      </c>
      <c r="C38" s="29" t="s">
        <v>70</v>
      </c>
      <c r="D38" s="29" t="s">
        <v>99</v>
      </c>
      <c r="E38" s="29" t="s">
        <v>132</v>
      </c>
      <c r="F38" s="33"/>
      <c r="G38" s="30">
        <v>36</v>
      </c>
      <c r="H38" s="31" t="s">
        <v>73</v>
      </c>
      <c r="I38" s="32" t="s">
        <v>136</v>
      </c>
      <c r="J38" s="31">
        <v>2023</v>
      </c>
      <c r="K38" s="31">
        <v>2023</v>
      </c>
      <c r="L38" s="31" t="s">
        <v>75</v>
      </c>
      <c r="M38" s="33" t="s">
        <v>76</v>
      </c>
      <c r="N38" s="33">
        <v>305</v>
      </c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35"/>
      <c r="AS38" s="35"/>
      <c r="AT38" s="8">
        <v>34</v>
      </c>
      <c r="AU38" s="35"/>
      <c r="AV38" s="40"/>
      <c r="AW38" s="40"/>
      <c r="AX38" s="35"/>
      <c r="AY38" s="36"/>
      <c r="AZ38" s="36"/>
      <c r="BA38" s="36"/>
      <c r="BB38" s="36"/>
      <c r="BC38" s="36"/>
      <c r="BD38" s="35" t="e">
        <f t="shared" ref="BD38:BD69" si="1">(AY38+AZ38+BA38+BB38+BC38)/AU38</f>
        <v>#DIV/0!</v>
      </c>
      <c r="BE38" s="37">
        <v>666.67</v>
      </c>
      <c r="BF38" s="37">
        <v>74</v>
      </c>
      <c r="BG38" s="38"/>
      <c r="BH38" s="35"/>
      <c r="BI38" s="35"/>
      <c r="BJ38" s="35"/>
    </row>
    <row r="39" ht="84" spans="1:62">
      <c r="A39" s="28" t="s">
        <v>69</v>
      </c>
      <c r="B39" s="28">
        <v>35</v>
      </c>
      <c r="C39" s="29" t="s">
        <v>70</v>
      </c>
      <c r="D39" s="29" t="s">
        <v>99</v>
      </c>
      <c r="E39" s="29" t="s">
        <v>132</v>
      </c>
      <c r="F39" s="33"/>
      <c r="G39" s="30">
        <v>37</v>
      </c>
      <c r="H39" s="31" t="s">
        <v>73</v>
      </c>
      <c r="I39" s="32" t="s">
        <v>137</v>
      </c>
      <c r="J39" s="31">
        <v>2023</v>
      </c>
      <c r="K39" s="31">
        <v>2023</v>
      </c>
      <c r="L39" s="31" t="s">
        <v>75</v>
      </c>
      <c r="M39" s="33" t="s">
        <v>78</v>
      </c>
      <c r="N39" s="33">
        <v>38</v>
      </c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35"/>
      <c r="AS39" s="35"/>
      <c r="AT39" s="8">
        <v>35</v>
      </c>
      <c r="AU39" s="35"/>
      <c r="AV39" s="40"/>
      <c r="AW39" s="40"/>
      <c r="AX39" s="35"/>
      <c r="AY39" s="36"/>
      <c r="AZ39" s="36"/>
      <c r="BA39" s="36"/>
      <c r="BB39" s="36"/>
      <c r="BC39" s="36"/>
      <c r="BD39" s="35" t="e">
        <f t="shared" si="1"/>
        <v>#DIV/0!</v>
      </c>
      <c r="BE39" s="37">
        <v>666.67</v>
      </c>
      <c r="BF39" s="37">
        <v>74</v>
      </c>
      <c r="BG39" s="38"/>
      <c r="BH39" s="35"/>
      <c r="BI39" s="35"/>
      <c r="BJ39" s="35"/>
    </row>
    <row r="40" ht="84" spans="1:62">
      <c r="A40" s="28" t="s">
        <v>69</v>
      </c>
      <c r="B40" s="28">
        <v>36</v>
      </c>
      <c r="C40" s="29" t="s">
        <v>70</v>
      </c>
      <c r="D40" s="29" t="s">
        <v>99</v>
      </c>
      <c r="E40" s="29" t="s">
        <v>132</v>
      </c>
      <c r="F40" s="33"/>
      <c r="G40" s="30">
        <v>39</v>
      </c>
      <c r="H40" s="31" t="s">
        <v>73</v>
      </c>
      <c r="I40" s="32" t="s">
        <v>138</v>
      </c>
      <c r="J40" s="31">
        <v>2023</v>
      </c>
      <c r="K40" s="31">
        <v>2023</v>
      </c>
      <c r="L40" s="31" t="s">
        <v>75</v>
      </c>
      <c r="M40" s="33" t="s">
        <v>105</v>
      </c>
      <c r="N40" s="33">
        <v>243</v>
      </c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35"/>
      <c r="AS40" s="35"/>
      <c r="AT40" s="8">
        <v>36</v>
      </c>
      <c r="AU40" s="35"/>
      <c r="AV40" s="40"/>
      <c r="AW40" s="40"/>
      <c r="AX40" s="35"/>
      <c r="AY40" s="36"/>
      <c r="AZ40" s="36"/>
      <c r="BA40" s="36"/>
      <c r="BB40" s="36"/>
      <c r="BC40" s="36"/>
      <c r="BD40" s="35" t="e">
        <f t="shared" si="1"/>
        <v>#DIV/0!</v>
      </c>
      <c r="BE40" s="37">
        <v>666.67</v>
      </c>
      <c r="BF40" s="37">
        <v>74</v>
      </c>
      <c r="BG40" s="38"/>
      <c r="BH40" s="35"/>
      <c r="BI40" s="35"/>
      <c r="BJ40" s="35"/>
    </row>
    <row r="41" ht="84" spans="1:62">
      <c r="A41" s="28" t="s">
        <v>69</v>
      </c>
      <c r="B41" s="28">
        <v>37</v>
      </c>
      <c r="C41" s="29" t="s">
        <v>70</v>
      </c>
      <c r="D41" s="29" t="s">
        <v>99</v>
      </c>
      <c r="E41" s="29" t="s">
        <v>139</v>
      </c>
      <c r="F41" s="33"/>
      <c r="G41" s="30">
        <v>28</v>
      </c>
      <c r="H41" s="31" t="s">
        <v>73</v>
      </c>
      <c r="I41" s="32" t="s">
        <v>140</v>
      </c>
      <c r="J41" s="31">
        <v>2023</v>
      </c>
      <c r="K41" s="31">
        <v>2023</v>
      </c>
      <c r="L41" s="31" t="s">
        <v>75</v>
      </c>
      <c r="M41" s="33" t="s">
        <v>107</v>
      </c>
      <c r="N41" s="33">
        <v>30</v>
      </c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35"/>
      <c r="AS41" s="35"/>
      <c r="AT41" s="8">
        <v>37</v>
      </c>
      <c r="AU41" s="35"/>
      <c r="AV41" s="40"/>
      <c r="AW41" s="40"/>
      <c r="AX41" s="35"/>
      <c r="AY41" s="36"/>
      <c r="AZ41" s="36"/>
      <c r="BA41" s="36"/>
      <c r="BB41" s="36"/>
      <c r="BC41" s="36"/>
      <c r="BD41" s="35" t="e">
        <f t="shared" si="1"/>
        <v>#DIV/0!</v>
      </c>
      <c r="BE41" s="37">
        <v>666.67</v>
      </c>
      <c r="BF41" s="37">
        <v>111</v>
      </c>
      <c r="BG41" s="38"/>
      <c r="BH41" s="35"/>
      <c r="BI41" s="35"/>
      <c r="BJ41" s="35"/>
    </row>
    <row r="42" ht="84" spans="1:62">
      <c r="A42" s="28" t="s">
        <v>69</v>
      </c>
      <c r="B42" s="28">
        <v>38</v>
      </c>
      <c r="C42" s="29" t="s">
        <v>70</v>
      </c>
      <c r="D42" s="29" t="s">
        <v>99</v>
      </c>
      <c r="E42" s="29" t="s">
        <v>139</v>
      </c>
      <c r="F42" s="33"/>
      <c r="G42" s="30">
        <v>30</v>
      </c>
      <c r="H42" s="31" t="s">
        <v>73</v>
      </c>
      <c r="I42" s="32" t="s">
        <v>141</v>
      </c>
      <c r="J42" s="31">
        <v>2023</v>
      </c>
      <c r="K42" s="31">
        <v>2023</v>
      </c>
      <c r="L42" s="31" t="s">
        <v>75</v>
      </c>
      <c r="M42" s="33" t="s">
        <v>107</v>
      </c>
      <c r="N42" s="33">
        <v>14</v>
      </c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35"/>
      <c r="AS42" s="35"/>
      <c r="AT42" s="8">
        <v>38</v>
      </c>
      <c r="AU42" s="35"/>
      <c r="AV42" s="40"/>
      <c r="AW42" s="40"/>
      <c r="AX42" s="35"/>
      <c r="AY42" s="36"/>
      <c r="AZ42" s="36"/>
      <c r="BA42" s="36"/>
      <c r="BB42" s="36"/>
      <c r="BC42" s="36"/>
      <c r="BD42" s="35" t="e">
        <f t="shared" si="1"/>
        <v>#DIV/0!</v>
      </c>
      <c r="BE42" s="37">
        <v>666.67</v>
      </c>
      <c r="BF42" s="37">
        <v>111</v>
      </c>
      <c r="BG42" s="38"/>
      <c r="BH42" s="35"/>
      <c r="BI42" s="35"/>
      <c r="BJ42" s="35"/>
    </row>
    <row r="43" ht="84" spans="1:62">
      <c r="A43" s="28" t="s">
        <v>69</v>
      </c>
      <c r="B43" s="28">
        <v>39</v>
      </c>
      <c r="C43" s="29" t="s">
        <v>70</v>
      </c>
      <c r="D43" s="29" t="s">
        <v>99</v>
      </c>
      <c r="E43" s="29" t="s">
        <v>139</v>
      </c>
      <c r="F43" s="33"/>
      <c r="G43" s="30">
        <v>40</v>
      </c>
      <c r="H43" s="31" t="s">
        <v>73</v>
      </c>
      <c r="I43" s="32" t="s">
        <v>142</v>
      </c>
      <c r="J43" s="31">
        <v>2023</v>
      </c>
      <c r="K43" s="31">
        <v>2023</v>
      </c>
      <c r="L43" s="31" t="s">
        <v>75</v>
      </c>
      <c r="M43" s="33" t="s">
        <v>143</v>
      </c>
      <c r="N43" s="33">
        <v>169</v>
      </c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35"/>
      <c r="AS43" s="35"/>
      <c r="AT43" s="8">
        <v>39</v>
      </c>
      <c r="AU43" s="35"/>
      <c r="AV43" s="40"/>
      <c r="AW43" s="40"/>
      <c r="AX43" s="35"/>
      <c r="AY43" s="36"/>
      <c r="AZ43" s="36"/>
      <c r="BA43" s="36"/>
      <c r="BB43" s="36"/>
      <c r="BC43" s="36"/>
      <c r="BD43" s="35" t="e">
        <f t="shared" si="1"/>
        <v>#DIV/0!</v>
      </c>
      <c r="BE43" s="37">
        <v>666.67</v>
      </c>
      <c r="BF43" s="37">
        <v>74</v>
      </c>
      <c r="BG43" s="38"/>
      <c r="BH43" s="35"/>
      <c r="BI43" s="35"/>
      <c r="BJ43" s="35"/>
    </row>
    <row r="44" ht="84" spans="1:62">
      <c r="A44" s="28" t="s">
        <v>69</v>
      </c>
      <c r="B44" s="28">
        <v>40</v>
      </c>
      <c r="C44" s="29" t="s">
        <v>70</v>
      </c>
      <c r="D44" s="29" t="s">
        <v>99</v>
      </c>
      <c r="E44" s="29" t="s">
        <v>94</v>
      </c>
      <c r="F44" s="33"/>
      <c r="G44" s="30">
        <v>4</v>
      </c>
      <c r="H44" s="31" t="s">
        <v>73</v>
      </c>
      <c r="I44" s="32" t="s">
        <v>144</v>
      </c>
      <c r="J44" s="31">
        <v>2023</v>
      </c>
      <c r="K44" s="31">
        <v>2023</v>
      </c>
      <c r="L44" s="31" t="s">
        <v>75</v>
      </c>
      <c r="M44" s="33" t="s">
        <v>91</v>
      </c>
      <c r="N44" s="33">
        <v>52</v>
      </c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35"/>
      <c r="AS44" s="35"/>
      <c r="AT44" s="8">
        <v>40</v>
      </c>
      <c r="AU44" s="35"/>
      <c r="AV44" s="40"/>
      <c r="AW44" s="40"/>
      <c r="AX44" s="35"/>
      <c r="AY44" s="36"/>
      <c r="AZ44" s="36"/>
      <c r="BA44" s="36"/>
      <c r="BB44" s="36"/>
      <c r="BC44" s="36"/>
      <c r="BD44" s="35" t="e">
        <f t="shared" si="1"/>
        <v>#DIV/0!</v>
      </c>
      <c r="BE44" s="37">
        <v>666.67</v>
      </c>
      <c r="BF44" s="37">
        <v>111</v>
      </c>
      <c r="BG44" s="38"/>
      <c r="BH44" s="35"/>
      <c r="BI44" s="35"/>
      <c r="BJ44" s="35"/>
    </row>
    <row r="45" ht="84" spans="1:62">
      <c r="A45" s="28" t="s">
        <v>69</v>
      </c>
      <c r="B45" s="28">
        <v>41</v>
      </c>
      <c r="C45" s="29" t="s">
        <v>70</v>
      </c>
      <c r="D45" s="29" t="s">
        <v>99</v>
      </c>
      <c r="E45" s="29" t="s">
        <v>94</v>
      </c>
      <c r="F45" s="33"/>
      <c r="G45" s="30">
        <v>5</v>
      </c>
      <c r="H45" s="31" t="s">
        <v>73</v>
      </c>
      <c r="I45" s="32" t="s">
        <v>145</v>
      </c>
      <c r="J45" s="31">
        <v>2023</v>
      </c>
      <c r="K45" s="31">
        <v>2023</v>
      </c>
      <c r="L45" s="31" t="s">
        <v>75</v>
      </c>
      <c r="M45" s="33" t="s">
        <v>91</v>
      </c>
      <c r="N45" s="33">
        <v>13</v>
      </c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35"/>
      <c r="AS45" s="35"/>
      <c r="AT45" s="8">
        <v>41</v>
      </c>
      <c r="AU45" s="35"/>
      <c r="AV45" s="40"/>
      <c r="AW45" s="40"/>
      <c r="AX45" s="35"/>
      <c r="AY45" s="36"/>
      <c r="AZ45" s="36"/>
      <c r="BA45" s="36"/>
      <c r="BB45" s="36"/>
      <c r="BC45" s="36"/>
      <c r="BD45" s="35" t="e">
        <f t="shared" si="1"/>
        <v>#DIV/0!</v>
      </c>
      <c r="BE45" s="37">
        <v>666.67</v>
      </c>
      <c r="BF45" s="37">
        <v>111</v>
      </c>
      <c r="BG45" s="38"/>
      <c r="BH45" s="35"/>
      <c r="BI45" s="35"/>
      <c r="BJ45" s="35"/>
    </row>
    <row r="46" ht="84" spans="1:62">
      <c r="A46" s="28" t="s">
        <v>69</v>
      </c>
      <c r="B46" s="28">
        <v>42</v>
      </c>
      <c r="C46" s="29" t="s">
        <v>70</v>
      </c>
      <c r="D46" s="29" t="s">
        <v>99</v>
      </c>
      <c r="E46" s="29" t="s">
        <v>146</v>
      </c>
      <c r="F46" s="33"/>
      <c r="G46" s="30">
        <v>10</v>
      </c>
      <c r="H46" s="31" t="s">
        <v>73</v>
      </c>
      <c r="I46" s="32" t="s">
        <v>147</v>
      </c>
      <c r="J46" s="31">
        <v>2023</v>
      </c>
      <c r="K46" s="31">
        <v>2023</v>
      </c>
      <c r="L46" s="31" t="s">
        <v>75</v>
      </c>
      <c r="M46" s="33" t="s">
        <v>80</v>
      </c>
      <c r="N46" s="33">
        <v>10</v>
      </c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35"/>
      <c r="AS46" s="35"/>
      <c r="AT46" s="8">
        <v>42</v>
      </c>
      <c r="AU46" s="35"/>
      <c r="AV46" s="40"/>
      <c r="AW46" s="40"/>
      <c r="AX46" s="35"/>
      <c r="AY46" s="36"/>
      <c r="AZ46" s="36"/>
      <c r="BA46" s="36"/>
      <c r="BB46" s="36"/>
      <c r="BC46" s="36"/>
      <c r="BD46" s="35" t="e">
        <f t="shared" si="1"/>
        <v>#DIV/0!</v>
      </c>
      <c r="BE46" s="37">
        <v>666.67</v>
      </c>
      <c r="BF46" s="37">
        <v>74</v>
      </c>
      <c r="BG46" s="38"/>
      <c r="BH46" s="35"/>
      <c r="BI46" s="35"/>
      <c r="BJ46" s="35"/>
    </row>
    <row r="47" ht="84" spans="1:62">
      <c r="A47" s="28" t="s">
        <v>69</v>
      </c>
      <c r="B47" s="28">
        <v>43</v>
      </c>
      <c r="C47" s="29" t="s">
        <v>70</v>
      </c>
      <c r="D47" s="29" t="s">
        <v>99</v>
      </c>
      <c r="E47" s="29" t="s">
        <v>146</v>
      </c>
      <c r="F47" s="33"/>
      <c r="G47" s="30">
        <v>12</v>
      </c>
      <c r="H47" s="31" t="s">
        <v>73</v>
      </c>
      <c r="I47" s="32" t="s">
        <v>148</v>
      </c>
      <c r="J47" s="31">
        <v>2023</v>
      </c>
      <c r="K47" s="31">
        <v>2023</v>
      </c>
      <c r="L47" s="31" t="s">
        <v>75</v>
      </c>
      <c r="M47" s="33" t="s">
        <v>80</v>
      </c>
      <c r="N47" s="33">
        <v>26</v>
      </c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35"/>
      <c r="AS47" s="35"/>
      <c r="AT47" s="8">
        <v>43</v>
      </c>
      <c r="AU47" s="35"/>
      <c r="AV47" s="40"/>
      <c r="AW47" s="40"/>
      <c r="AX47" s="35"/>
      <c r="AY47" s="36"/>
      <c r="AZ47" s="36"/>
      <c r="BA47" s="36"/>
      <c r="BB47" s="36"/>
      <c r="BC47" s="36"/>
      <c r="BD47" s="35" t="e">
        <f t="shared" si="1"/>
        <v>#DIV/0!</v>
      </c>
      <c r="BE47" s="37">
        <v>666.67</v>
      </c>
      <c r="BF47" s="37">
        <v>74</v>
      </c>
      <c r="BG47" s="38"/>
      <c r="BH47" s="35"/>
      <c r="BI47" s="35"/>
      <c r="BJ47" s="35"/>
    </row>
    <row r="48" ht="84" spans="1:62">
      <c r="A48" s="28" t="s">
        <v>69</v>
      </c>
      <c r="B48" s="28">
        <v>44</v>
      </c>
      <c r="C48" s="29" t="s">
        <v>70</v>
      </c>
      <c r="D48" s="29" t="s">
        <v>99</v>
      </c>
      <c r="E48" s="29" t="s">
        <v>146</v>
      </c>
      <c r="F48" s="33"/>
      <c r="G48" s="30">
        <v>13</v>
      </c>
      <c r="H48" s="31" t="s">
        <v>73</v>
      </c>
      <c r="I48" s="32" t="s">
        <v>149</v>
      </c>
      <c r="J48" s="31">
        <v>2023</v>
      </c>
      <c r="K48" s="31">
        <v>2023</v>
      </c>
      <c r="L48" s="31" t="s">
        <v>75</v>
      </c>
      <c r="M48" s="33" t="s">
        <v>78</v>
      </c>
      <c r="N48" s="33">
        <v>95</v>
      </c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35"/>
      <c r="AS48" s="35"/>
      <c r="AT48" s="8">
        <v>44</v>
      </c>
      <c r="AU48" s="35"/>
      <c r="AV48" s="40"/>
      <c r="AW48" s="40"/>
      <c r="AX48" s="35"/>
      <c r="AY48" s="36"/>
      <c r="AZ48" s="36"/>
      <c r="BA48" s="36"/>
      <c r="BB48" s="36"/>
      <c r="BC48" s="36"/>
      <c r="BD48" s="35" t="e">
        <f t="shared" si="1"/>
        <v>#DIV/0!</v>
      </c>
      <c r="BE48" s="37">
        <v>666.67</v>
      </c>
      <c r="BF48" s="37">
        <v>74</v>
      </c>
      <c r="BG48" s="38"/>
      <c r="BH48" s="35"/>
      <c r="BI48" s="35"/>
      <c r="BJ48" s="35"/>
    </row>
    <row r="49" ht="84" spans="1:62">
      <c r="A49" s="28" t="s">
        <v>69</v>
      </c>
      <c r="B49" s="28">
        <v>45</v>
      </c>
      <c r="C49" s="29" t="s">
        <v>70</v>
      </c>
      <c r="D49" s="29" t="s">
        <v>99</v>
      </c>
      <c r="E49" s="29" t="s">
        <v>146</v>
      </c>
      <c r="F49" s="33"/>
      <c r="G49" s="30">
        <v>14</v>
      </c>
      <c r="H49" s="31" t="s">
        <v>73</v>
      </c>
      <c r="I49" s="32" t="s">
        <v>150</v>
      </c>
      <c r="J49" s="31">
        <v>2023</v>
      </c>
      <c r="K49" s="31">
        <v>2023</v>
      </c>
      <c r="L49" s="31" t="s">
        <v>75</v>
      </c>
      <c r="M49" s="33" t="s">
        <v>78</v>
      </c>
      <c r="N49" s="33">
        <v>71</v>
      </c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35"/>
      <c r="AS49" s="35"/>
      <c r="AT49" s="8">
        <v>45</v>
      </c>
      <c r="AU49" s="35"/>
      <c r="AV49" s="40"/>
      <c r="AW49" s="40"/>
      <c r="AX49" s="35"/>
      <c r="AY49" s="36"/>
      <c r="AZ49" s="36"/>
      <c r="BA49" s="36"/>
      <c r="BB49" s="36"/>
      <c r="BC49" s="36"/>
      <c r="BD49" s="35" t="e">
        <f t="shared" si="1"/>
        <v>#DIV/0!</v>
      </c>
      <c r="BE49" s="37">
        <v>666.67</v>
      </c>
      <c r="BF49" s="37">
        <v>74</v>
      </c>
      <c r="BG49" s="38"/>
      <c r="BH49" s="35"/>
      <c r="BI49" s="35"/>
      <c r="BJ49" s="35"/>
    </row>
    <row r="50" ht="84" spans="1:62">
      <c r="A50" s="28" t="s">
        <v>69</v>
      </c>
      <c r="B50" s="28">
        <v>46</v>
      </c>
      <c r="C50" s="29" t="s">
        <v>70</v>
      </c>
      <c r="D50" s="29" t="s">
        <v>99</v>
      </c>
      <c r="E50" s="29" t="s">
        <v>151</v>
      </c>
      <c r="F50" s="33"/>
      <c r="G50" s="30">
        <v>3</v>
      </c>
      <c r="H50" s="31" t="s">
        <v>73</v>
      </c>
      <c r="I50" s="32" t="s">
        <v>152</v>
      </c>
      <c r="J50" s="31">
        <v>2023</v>
      </c>
      <c r="K50" s="31">
        <v>2023</v>
      </c>
      <c r="L50" s="31" t="s">
        <v>75</v>
      </c>
      <c r="M50" s="33" t="s">
        <v>80</v>
      </c>
      <c r="N50" s="33">
        <v>14</v>
      </c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35"/>
      <c r="AS50" s="35"/>
      <c r="AT50" s="8">
        <v>46</v>
      </c>
      <c r="AU50" s="35"/>
      <c r="AV50" s="40"/>
      <c r="AW50" s="40"/>
      <c r="AX50" s="35"/>
      <c r="AY50" s="36"/>
      <c r="AZ50" s="36"/>
      <c r="BA50" s="36"/>
      <c r="BB50" s="36"/>
      <c r="BC50" s="36"/>
      <c r="BD50" s="35" t="e">
        <f t="shared" si="1"/>
        <v>#DIV/0!</v>
      </c>
      <c r="BE50" s="37">
        <v>666.67</v>
      </c>
      <c r="BF50" s="37">
        <v>74</v>
      </c>
      <c r="BG50" s="38"/>
      <c r="BH50" s="35"/>
      <c r="BI50" s="35"/>
      <c r="BJ50" s="35"/>
    </row>
    <row r="51" ht="84" spans="1:62">
      <c r="A51" s="28" t="s">
        <v>69</v>
      </c>
      <c r="B51" s="28">
        <v>47</v>
      </c>
      <c r="C51" s="29" t="s">
        <v>70</v>
      </c>
      <c r="D51" s="29" t="s">
        <v>99</v>
      </c>
      <c r="E51" s="29" t="s">
        <v>153</v>
      </c>
      <c r="F51" s="33"/>
      <c r="G51" s="30">
        <v>19</v>
      </c>
      <c r="H51" s="31" t="s">
        <v>73</v>
      </c>
      <c r="I51" s="32" t="s">
        <v>154</v>
      </c>
      <c r="J51" s="31">
        <v>2023</v>
      </c>
      <c r="K51" s="31">
        <v>2023</v>
      </c>
      <c r="L51" s="31" t="s">
        <v>75</v>
      </c>
      <c r="M51" s="33" t="s">
        <v>105</v>
      </c>
      <c r="N51" s="33">
        <v>21</v>
      </c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35"/>
      <c r="AS51" s="35"/>
      <c r="AT51" s="8">
        <v>47</v>
      </c>
      <c r="AU51" s="35"/>
      <c r="AV51" s="40"/>
      <c r="AW51" s="40"/>
      <c r="AX51" s="35"/>
      <c r="AY51" s="36"/>
      <c r="AZ51" s="36"/>
      <c r="BA51" s="36"/>
      <c r="BB51" s="36"/>
      <c r="BC51" s="36"/>
      <c r="BD51" s="35" t="e">
        <f t="shared" si="1"/>
        <v>#DIV/0!</v>
      </c>
      <c r="BE51" s="37">
        <v>666.67</v>
      </c>
      <c r="BF51" s="37">
        <v>111</v>
      </c>
      <c r="BG51" s="38"/>
      <c r="BH51" s="35"/>
      <c r="BI51" s="35"/>
      <c r="BJ51" s="35"/>
    </row>
    <row r="52" ht="84" spans="1:62">
      <c r="A52" s="28" t="s">
        <v>69</v>
      </c>
      <c r="B52" s="28">
        <v>48</v>
      </c>
      <c r="C52" s="29" t="s">
        <v>70</v>
      </c>
      <c r="D52" s="29" t="s">
        <v>99</v>
      </c>
      <c r="E52" s="29" t="s">
        <v>153</v>
      </c>
      <c r="F52" s="33"/>
      <c r="G52" s="30">
        <v>27</v>
      </c>
      <c r="H52" s="31" t="s">
        <v>73</v>
      </c>
      <c r="I52" s="32" t="s">
        <v>155</v>
      </c>
      <c r="J52" s="31">
        <v>2023</v>
      </c>
      <c r="K52" s="31">
        <v>2023</v>
      </c>
      <c r="L52" s="31" t="s">
        <v>75</v>
      </c>
      <c r="M52" s="33" t="s">
        <v>76</v>
      </c>
      <c r="N52" s="33">
        <v>37</v>
      </c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35"/>
      <c r="AS52" s="35"/>
      <c r="AT52" s="8">
        <v>48</v>
      </c>
      <c r="AU52" s="35"/>
      <c r="AV52" s="40"/>
      <c r="AW52" s="40"/>
      <c r="AX52" s="35"/>
      <c r="AY52" s="36"/>
      <c r="AZ52" s="36"/>
      <c r="BA52" s="36"/>
      <c r="BB52" s="36"/>
      <c r="BC52" s="36"/>
      <c r="BD52" s="35" t="e">
        <f t="shared" si="1"/>
        <v>#DIV/0!</v>
      </c>
      <c r="BE52" s="37">
        <v>666.67</v>
      </c>
      <c r="BF52" s="37">
        <v>74</v>
      </c>
      <c r="BG52" s="38"/>
      <c r="BH52" s="35"/>
      <c r="BI52" s="35"/>
      <c r="BJ52" s="35"/>
    </row>
    <row r="53" ht="84" spans="1:62">
      <c r="A53" s="28" t="s">
        <v>69</v>
      </c>
      <c r="B53" s="28">
        <v>49</v>
      </c>
      <c r="C53" s="29" t="s">
        <v>70</v>
      </c>
      <c r="D53" s="29" t="s">
        <v>99</v>
      </c>
      <c r="E53" s="29" t="s">
        <v>97</v>
      </c>
      <c r="F53" s="33"/>
      <c r="G53" s="30">
        <v>24</v>
      </c>
      <c r="H53" s="31" t="s">
        <v>73</v>
      </c>
      <c r="I53" s="32" t="s">
        <v>156</v>
      </c>
      <c r="J53" s="31">
        <v>2023</v>
      </c>
      <c r="K53" s="31">
        <v>2023</v>
      </c>
      <c r="L53" s="31" t="s">
        <v>75</v>
      </c>
      <c r="M53" s="33" t="s">
        <v>76</v>
      </c>
      <c r="N53" s="33">
        <v>10</v>
      </c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35"/>
      <c r="AS53" s="35"/>
      <c r="AT53" s="8">
        <v>49</v>
      </c>
      <c r="AU53" s="35"/>
      <c r="AV53" s="40"/>
      <c r="AW53" s="40"/>
      <c r="AX53" s="35"/>
      <c r="AY53" s="36"/>
      <c r="AZ53" s="36"/>
      <c r="BA53" s="36"/>
      <c r="BB53" s="36"/>
      <c r="BC53" s="36"/>
      <c r="BD53" s="35" t="e">
        <f t="shared" si="1"/>
        <v>#DIV/0!</v>
      </c>
      <c r="BE53" s="37">
        <v>666.67</v>
      </c>
      <c r="BF53" s="37">
        <v>60</v>
      </c>
      <c r="BG53" s="38"/>
      <c r="BH53" s="35"/>
      <c r="BI53" s="35"/>
      <c r="BJ53" s="35"/>
    </row>
    <row r="54" ht="84" spans="1:62">
      <c r="A54" s="28" t="s">
        <v>69</v>
      </c>
      <c r="B54" s="28">
        <v>50</v>
      </c>
      <c r="C54" s="29" t="s">
        <v>70</v>
      </c>
      <c r="D54" s="29" t="s">
        <v>157</v>
      </c>
      <c r="E54" s="29" t="s">
        <v>158</v>
      </c>
      <c r="F54" s="33"/>
      <c r="G54" s="30">
        <v>12</v>
      </c>
      <c r="H54" s="31" t="s">
        <v>73</v>
      </c>
      <c r="I54" s="32" t="s">
        <v>159</v>
      </c>
      <c r="J54" s="31">
        <v>2023</v>
      </c>
      <c r="K54" s="31">
        <v>2023</v>
      </c>
      <c r="L54" s="31" t="s">
        <v>75</v>
      </c>
      <c r="M54" s="33" t="s">
        <v>80</v>
      </c>
      <c r="N54" s="33">
        <v>33</v>
      </c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35"/>
      <c r="AS54" s="35"/>
      <c r="AT54" s="8">
        <v>50</v>
      </c>
      <c r="AU54" s="35"/>
      <c r="AV54" s="40"/>
      <c r="AW54" s="40"/>
      <c r="AX54" s="35"/>
      <c r="AY54" s="36"/>
      <c r="AZ54" s="36"/>
      <c r="BA54" s="36"/>
      <c r="BB54" s="36"/>
      <c r="BC54" s="36"/>
      <c r="BD54" s="35" t="e">
        <f t="shared" si="1"/>
        <v>#DIV/0!</v>
      </c>
      <c r="BE54" s="37">
        <v>666.67</v>
      </c>
      <c r="BF54" s="37">
        <v>74</v>
      </c>
      <c r="BG54" s="38"/>
      <c r="BH54" s="35"/>
      <c r="BI54" s="35"/>
      <c r="BJ54" s="35"/>
    </row>
    <row r="55" ht="84" spans="1:62">
      <c r="A55" s="28" t="s">
        <v>69</v>
      </c>
      <c r="B55" s="28">
        <v>51</v>
      </c>
      <c r="C55" s="29" t="s">
        <v>70</v>
      </c>
      <c r="D55" s="29" t="s">
        <v>157</v>
      </c>
      <c r="E55" s="29" t="s">
        <v>158</v>
      </c>
      <c r="F55" s="33"/>
      <c r="G55" s="30">
        <v>16</v>
      </c>
      <c r="H55" s="31" t="s">
        <v>73</v>
      </c>
      <c r="I55" s="32" t="s">
        <v>160</v>
      </c>
      <c r="J55" s="31">
        <v>2023</v>
      </c>
      <c r="K55" s="31">
        <v>2023</v>
      </c>
      <c r="L55" s="31" t="s">
        <v>75</v>
      </c>
      <c r="M55" s="33" t="s">
        <v>80</v>
      </c>
      <c r="N55" s="33">
        <v>6.44</v>
      </c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35"/>
      <c r="AS55" s="35"/>
      <c r="AT55" s="8">
        <v>51</v>
      </c>
      <c r="AU55" s="35"/>
      <c r="AV55" s="40"/>
      <c r="AW55" s="40"/>
      <c r="AX55" s="35"/>
      <c r="AY55" s="36"/>
      <c r="AZ55" s="36"/>
      <c r="BA55" s="36"/>
      <c r="BB55" s="36"/>
      <c r="BC55" s="36"/>
      <c r="BD55" s="35" t="e">
        <f t="shared" si="1"/>
        <v>#DIV/0!</v>
      </c>
      <c r="BE55" s="37">
        <v>666.67</v>
      </c>
      <c r="BF55" s="37">
        <v>60</v>
      </c>
      <c r="BG55" s="38"/>
      <c r="BH55" s="35"/>
      <c r="BI55" s="35"/>
      <c r="BJ55" s="35"/>
    </row>
    <row r="56" ht="84" spans="1:62">
      <c r="A56" s="28" t="s">
        <v>69</v>
      </c>
      <c r="B56" s="28">
        <v>52</v>
      </c>
      <c r="C56" s="29" t="s">
        <v>70</v>
      </c>
      <c r="D56" s="29" t="s">
        <v>157</v>
      </c>
      <c r="E56" s="29" t="s">
        <v>158</v>
      </c>
      <c r="F56" s="33"/>
      <c r="G56" s="43" t="s">
        <v>161</v>
      </c>
      <c r="H56" s="31" t="s">
        <v>73</v>
      </c>
      <c r="I56" s="32" t="s">
        <v>162</v>
      </c>
      <c r="J56" s="31">
        <v>2023</v>
      </c>
      <c r="K56" s="31">
        <v>2023</v>
      </c>
      <c r="L56" s="31" t="s">
        <v>75</v>
      </c>
      <c r="M56" s="33" t="s">
        <v>80</v>
      </c>
      <c r="N56" s="33">
        <v>3</v>
      </c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35"/>
      <c r="AS56" s="35"/>
      <c r="AT56" s="8">
        <v>52</v>
      </c>
      <c r="AU56" s="35"/>
      <c r="AV56" s="40"/>
      <c r="AW56" s="40"/>
      <c r="AX56" s="35"/>
      <c r="AY56" s="36"/>
      <c r="AZ56" s="36"/>
      <c r="BA56" s="36"/>
      <c r="BB56" s="36"/>
      <c r="BC56" s="36"/>
      <c r="BD56" s="35" t="e">
        <f t="shared" si="1"/>
        <v>#DIV/0!</v>
      </c>
      <c r="BE56" s="37">
        <v>666.67</v>
      </c>
      <c r="BF56" s="37">
        <v>60</v>
      </c>
      <c r="BG56" s="38"/>
      <c r="BH56" s="35"/>
      <c r="BI56" s="35"/>
      <c r="BJ56" s="35"/>
    </row>
    <row r="57" ht="84" spans="1:62">
      <c r="A57" s="28" t="s">
        <v>69</v>
      </c>
      <c r="B57" s="28">
        <v>53</v>
      </c>
      <c r="C57" s="29" t="s">
        <v>70</v>
      </c>
      <c r="D57" s="29" t="s">
        <v>163</v>
      </c>
      <c r="E57" s="29" t="s">
        <v>164</v>
      </c>
      <c r="F57" s="33"/>
      <c r="G57" s="30">
        <v>36</v>
      </c>
      <c r="H57" s="31" t="s">
        <v>73</v>
      </c>
      <c r="I57" s="32" t="s">
        <v>165</v>
      </c>
      <c r="J57" s="31">
        <v>2023</v>
      </c>
      <c r="K57" s="31">
        <v>2023</v>
      </c>
      <c r="L57" s="31" t="s">
        <v>75</v>
      </c>
      <c r="M57" s="33" t="s">
        <v>76</v>
      </c>
      <c r="N57" s="33">
        <v>14</v>
      </c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35"/>
      <c r="AS57" s="35"/>
      <c r="AT57" s="8">
        <v>53</v>
      </c>
      <c r="AU57" s="35"/>
      <c r="AV57" s="40"/>
      <c r="AW57" s="40"/>
      <c r="AX57" s="35"/>
      <c r="AY57" s="36"/>
      <c r="AZ57" s="36"/>
      <c r="BA57" s="36"/>
      <c r="BB57" s="36"/>
      <c r="BC57" s="36"/>
      <c r="BD57" s="35" t="e">
        <f t="shared" si="1"/>
        <v>#DIV/0!</v>
      </c>
      <c r="BE57" s="37">
        <v>666.67</v>
      </c>
      <c r="BF57" s="37">
        <v>111</v>
      </c>
      <c r="BG57" s="38"/>
      <c r="BH57" s="35"/>
      <c r="BI57" s="35"/>
      <c r="BJ57" s="35"/>
    </row>
    <row r="58" ht="84" spans="1:62">
      <c r="A58" s="28" t="s">
        <v>69</v>
      </c>
      <c r="B58" s="28">
        <v>54</v>
      </c>
      <c r="C58" s="29" t="s">
        <v>70</v>
      </c>
      <c r="D58" s="29" t="s">
        <v>163</v>
      </c>
      <c r="E58" s="29" t="s">
        <v>164</v>
      </c>
      <c r="F58" s="33"/>
      <c r="G58" s="30">
        <v>38</v>
      </c>
      <c r="H58" s="31" t="s">
        <v>73</v>
      </c>
      <c r="I58" s="32" t="s">
        <v>166</v>
      </c>
      <c r="J58" s="31">
        <v>2023</v>
      </c>
      <c r="K58" s="31">
        <v>2023</v>
      </c>
      <c r="L58" s="31" t="s">
        <v>75</v>
      </c>
      <c r="M58" s="33" t="s">
        <v>80</v>
      </c>
      <c r="N58" s="33">
        <v>20</v>
      </c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35"/>
      <c r="AS58" s="35"/>
      <c r="AT58" s="8">
        <v>54</v>
      </c>
      <c r="AU58" s="35"/>
      <c r="AV58" s="40"/>
      <c r="AW58" s="40"/>
      <c r="AX58" s="35"/>
      <c r="AY58" s="36"/>
      <c r="AZ58" s="36"/>
      <c r="BA58" s="36"/>
      <c r="BB58" s="36"/>
      <c r="BC58" s="36"/>
      <c r="BD58" s="35" t="e">
        <f t="shared" si="1"/>
        <v>#DIV/0!</v>
      </c>
      <c r="BE58" s="37">
        <v>666.67</v>
      </c>
      <c r="BF58" s="37">
        <v>60</v>
      </c>
      <c r="BG58" s="38"/>
      <c r="BH58" s="35"/>
      <c r="BI58" s="35"/>
      <c r="BJ58" s="35"/>
    </row>
    <row r="59" ht="84" spans="1:62">
      <c r="A59" s="28" t="s">
        <v>69</v>
      </c>
      <c r="B59" s="28">
        <v>55</v>
      </c>
      <c r="C59" s="29" t="s">
        <v>70</v>
      </c>
      <c r="D59" s="29" t="s">
        <v>163</v>
      </c>
      <c r="E59" s="29" t="s">
        <v>167</v>
      </c>
      <c r="F59" s="33"/>
      <c r="G59" s="30">
        <v>35</v>
      </c>
      <c r="H59" s="31" t="s">
        <v>73</v>
      </c>
      <c r="I59" s="32" t="s">
        <v>168</v>
      </c>
      <c r="J59" s="31">
        <v>2023</v>
      </c>
      <c r="K59" s="31">
        <v>2023</v>
      </c>
      <c r="L59" s="31" t="s">
        <v>75</v>
      </c>
      <c r="M59" s="33" t="s">
        <v>76</v>
      </c>
      <c r="N59" s="33">
        <v>20</v>
      </c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35"/>
      <c r="AS59" s="35"/>
      <c r="AT59" s="8">
        <v>55</v>
      </c>
      <c r="AU59" s="35"/>
      <c r="AV59" s="40"/>
      <c r="AW59" s="40"/>
      <c r="AX59" s="35"/>
      <c r="AY59" s="36"/>
      <c r="AZ59" s="36"/>
      <c r="BA59" s="36"/>
      <c r="BB59" s="36"/>
      <c r="BC59" s="36"/>
      <c r="BD59" s="35" t="e">
        <f t="shared" si="1"/>
        <v>#DIV/0!</v>
      </c>
      <c r="BE59" s="37">
        <v>666.67</v>
      </c>
      <c r="BF59" s="37">
        <v>74</v>
      </c>
      <c r="BG59" s="38"/>
      <c r="BH59" s="35"/>
      <c r="BI59" s="35"/>
      <c r="BJ59" s="35"/>
    </row>
    <row r="60" ht="84" spans="1:62">
      <c r="A60" s="28" t="s">
        <v>69</v>
      </c>
      <c r="B60" s="28">
        <v>56</v>
      </c>
      <c r="C60" s="29" t="s">
        <v>70</v>
      </c>
      <c r="D60" s="29" t="s">
        <v>163</v>
      </c>
      <c r="E60" s="29" t="s">
        <v>167</v>
      </c>
      <c r="F60" s="33"/>
      <c r="G60" s="30">
        <v>37</v>
      </c>
      <c r="H60" s="31" t="s">
        <v>73</v>
      </c>
      <c r="I60" s="32" t="s">
        <v>169</v>
      </c>
      <c r="J60" s="31">
        <v>2023</v>
      </c>
      <c r="K60" s="31">
        <v>2023</v>
      </c>
      <c r="L60" s="31" t="s">
        <v>75</v>
      </c>
      <c r="M60" s="33" t="s">
        <v>91</v>
      </c>
      <c r="N60" s="33">
        <v>16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35"/>
      <c r="AS60" s="35"/>
      <c r="AT60" s="8">
        <v>56</v>
      </c>
      <c r="AU60" s="35"/>
      <c r="AV60" s="40"/>
      <c r="AW60" s="40"/>
      <c r="AX60" s="35"/>
      <c r="AY60" s="36"/>
      <c r="AZ60" s="36"/>
      <c r="BA60" s="36"/>
      <c r="BB60" s="36"/>
      <c r="BC60" s="36"/>
      <c r="BD60" s="35" t="e">
        <f t="shared" si="1"/>
        <v>#DIV/0!</v>
      </c>
      <c r="BE60" s="37">
        <v>666.67</v>
      </c>
      <c r="BF60" s="37">
        <v>74</v>
      </c>
      <c r="BG60" s="38"/>
      <c r="BH60" s="35"/>
      <c r="BI60" s="35"/>
      <c r="BJ60" s="35"/>
    </row>
    <row r="61" ht="84" spans="1:62">
      <c r="A61" s="28" t="s">
        <v>69</v>
      </c>
      <c r="B61" s="28">
        <v>57</v>
      </c>
      <c r="C61" s="29" t="s">
        <v>70</v>
      </c>
      <c r="D61" s="29" t="s">
        <v>163</v>
      </c>
      <c r="E61" s="29" t="s">
        <v>170</v>
      </c>
      <c r="F61" s="33"/>
      <c r="G61" s="30">
        <v>40</v>
      </c>
      <c r="H61" s="31" t="s">
        <v>73</v>
      </c>
      <c r="I61" s="32" t="s">
        <v>171</v>
      </c>
      <c r="J61" s="31">
        <v>2023</v>
      </c>
      <c r="K61" s="31">
        <v>2023</v>
      </c>
      <c r="L61" s="31" t="s">
        <v>75</v>
      </c>
      <c r="M61" s="33" t="s">
        <v>80</v>
      </c>
      <c r="N61" s="33">
        <v>13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35"/>
      <c r="AS61" s="35"/>
      <c r="AT61" s="8">
        <v>57</v>
      </c>
      <c r="AU61" s="35"/>
      <c r="AV61" s="40"/>
      <c r="AW61" s="40"/>
      <c r="AX61" s="35"/>
      <c r="AY61" s="36"/>
      <c r="AZ61" s="36"/>
      <c r="BA61" s="36"/>
      <c r="BB61" s="36"/>
      <c r="BC61" s="36"/>
      <c r="BD61" s="35" t="e">
        <f t="shared" si="1"/>
        <v>#DIV/0!</v>
      </c>
      <c r="BE61" s="37">
        <v>666.67</v>
      </c>
      <c r="BF61" s="37">
        <v>60</v>
      </c>
      <c r="BG61" s="38"/>
      <c r="BH61" s="35"/>
      <c r="BI61" s="35"/>
      <c r="BJ61" s="35"/>
    </row>
    <row r="62" ht="84" spans="1:62">
      <c r="A62" s="28" t="s">
        <v>69</v>
      </c>
      <c r="B62" s="28">
        <v>58</v>
      </c>
      <c r="C62" s="29" t="s">
        <v>70</v>
      </c>
      <c r="D62" s="29" t="s">
        <v>163</v>
      </c>
      <c r="E62" s="29" t="s">
        <v>170</v>
      </c>
      <c r="F62" s="33"/>
      <c r="G62" s="30">
        <v>41</v>
      </c>
      <c r="H62" s="31" t="s">
        <v>73</v>
      </c>
      <c r="I62" s="32" t="s">
        <v>172</v>
      </c>
      <c r="J62" s="31">
        <v>2023</v>
      </c>
      <c r="K62" s="31">
        <v>2023</v>
      </c>
      <c r="L62" s="31" t="s">
        <v>75</v>
      </c>
      <c r="M62" s="33" t="s">
        <v>91</v>
      </c>
      <c r="N62" s="33">
        <v>19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35"/>
      <c r="AS62" s="35"/>
      <c r="AT62" s="8">
        <v>58</v>
      </c>
      <c r="AU62" s="35"/>
      <c r="AV62" s="40"/>
      <c r="AW62" s="40"/>
      <c r="AX62" s="35"/>
      <c r="AY62" s="36"/>
      <c r="AZ62" s="36"/>
      <c r="BA62" s="36"/>
      <c r="BB62" s="36"/>
      <c r="BC62" s="36"/>
      <c r="BD62" s="35" t="e">
        <f t="shared" si="1"/>
        <v>#DIV/0!</v>
      </c>
      <c r="BE62" s="37">
        <v>666.67</v>
      </c>
      <c r="BF62" s="37">
        <v>74</v>
      </c>
      <c r="BG62" s="38"/>
      <c r="BH62" s="35"/>
      <c r="BI62" s="35"/>
      <c r="BJ62" s="35"/>
    </row>
    <row r="63" ht="84" spans="1:62">
      <c r="A63" s="28" t="s">
        <v>69</v>
      </c>
      <c r="B63" s="28">
        <v>59</v>
      </c>
      <c r="C63" s="29" t="s">
        <v>70</v>
      </c>
      <c r="D63" s="29" t="s">
        <v>163</v>
      </c>
      <c r="E63" s="29" t="s">
        <v>173</v>
      </c>
      <c r="F63" s="33"/>
      <c r="G63" s="30">
        <v>1</v>
      </c>
      <c r="H63" s="31" t="s">
        <v>73</v>
      </c>
      <c r="I63" s="32" t="s">
        <v>174</v>
      </c>
      <c r="J63" s="31">
        <v>2023</v>
      </c>
      <c r="K63" s="31">
        <v>2023</v>
      </c>
      <c r="L63" s="31" t="s">
        <v>75</v>
      </c>
      <c r="M63" s="33" t="s">
        <v>105</v>
      </c>
      <c r="N63" s="33">
        <v>25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35"/>
      <c r="AS63" s="35"/>
      <c r="AT63" s="8">
        <v>59</v>
      </c>
      <c r="AU63" s="35"/>
      <c r="AV63" s="40"/>
      <c r="AW63" s="40"/>
      <c r="AX63" s="35"/>
      <c r="AY63" s="36"/>
      <c r="AZ63" s="36"/>
      <c r="BA63" s="36"/>
      <c r="BB63" s="36"/>
      <c r="BC63" s="36"/>
      <c r="BD63" s="35" t="e">
        <f t="shared" si="1"/>
        <v>#DIV/0!</v>
      </c>
      <c r="BE63" s="37">
        <v>666.67</v>
      </c>
      <c r="BF63" s="37">
        <v>74</v>
      </c>
      <c r="BG63" s="38"/>
      <c r="BH63" s="35"/>
      <c r="BI63" s="35"/>
      <c r="BJ63" s="35"/>
    </row>
    <row r="64" ht="84" spans="1:62">
      <c r="A64" s="28" t="s">
        <v>69</v>
      </c>
      <c r="B64" s="28">
        <v>60</v>
      </c>
      <c r="C64" s="29" t="s">
        <v>70</v>
      </c>
      <c r="D64" s="29" t="s">
        <v>163</v>
      </c>
      <c r="E64" s="29" t="s">
        <v>158</v>
      </c>
      <c r="F64" s="33"/>
      <c r="G64" s="30">
        <v>10</v>
      </c>
      <c r="H64" s="31" t="s">
        <v>73</v>
      </c>
      <c r="I64" s="32" t="s">
        <v>175</v>
      </c>
      <c r="J64" s="31">
        <v>2023</v>
      </c>
      <c r="K64" s="31">
        <v>2023</v>
      </c>
      <c r="L64" s="31" t="s">
        <v>75</v>
      </c>
      <c r="M64" s="33" t="s">
        <v>76</v>
      </c>
      <c r="N64" s="33">
        <v>159</v>
      </c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35"/>
      <c r="AS64" s="35"/>
      <c r="AT64" s="8">
        <v>60</v>
      </c>
      <c r="AU64" s="35"/>
      <c r="AV64" s="40"/>
      <c r="AW64" s="40"/>
      <c r="AX64" s="35"/>
      <c r="AY64" s="36"/>
      <c r="AZ64" s="36"/>
      <c r="BA64" s="36"/>
      <c r="BB64" s="36"/>
      <c r="BC64" s="36"/>
      <c r="BD64" s="35" t="e">
        <f t="shared" si="1"/>
        <v>#DIV/0!</v>
      </c>
      <c r="BE64" s="37">
        <v>666.67</v>
      </c>
      <c r="BF64" s="37">
        <v>60</v>
      </c>
      <c r="BG64" s="38"/>
      <c r="BH64" s="35"/>
      <c r="BI64" s="35"/>
      <c r="BJ64" s="35"/>
    </row>
    <row r="65" ht="84" spans="1:62">
      <c r="A65" s="28" t="s">
        <v>69</v>
      </c>
      <c r="B65" s="28">
        <v>61</v>
      </c>
      <c r="C65" s="29" t="s">
        <v>70</v>
      </c>
      <c r="D65" s="29" t="s">
        <v>163</v>
      </c>
      <c r="E65" s="29" t="s">
        <v>158</v>
      </c>
      <c r="F65" s="33"/>
      <c r="G65" s="30">
        <v>11</v>
      </c>
      <c r="H65" s="31" t="s">
        <v>73</v>
      </c>
      <c r="I65" s="32" t="s">
        <v>176</v>
      </c>
      <c r="J65" s="31">
        <v>2023</v>
      </c>
      <c r="K65" s="31">
        <v>2023</v>
      </c>
      <c r="L65" s="31" t="s">
        <v>75</v>
      </c>
      <c r="M65" s="33" t="s">
        <v>177</v>
      </c>
      <c r="N65" s="33">
        <v>45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35"/>
      <c r="AS65" s="35"/>
      <c r="AT65" s="8">
        <v>61</v>
      </c>
      <c r="AU65" s="35"/>
      <c r="AV65" s="40"/>
      <c r="AW65" s="40"/>
      <c r="AX65" s="35"/>
      <c r="AY65" s="36"/>
      <c r="AZ65" s="36"/>
      <c r="BA65" s="36"/>
      <c r="BB65" s="36"/>
      <c r="BC65" s="36"/>
      <c r="BD65" s="35" t="e">
        <f t="shared" si="1"/>
        <v>#DIV/0!</v>
      </c>
      <c r="BE65" s="37">
        <v>666.67</v>
      </c>
      <c r="BF65" s="37">
        <v>74</v>
      </c>
      <c r="BG65" s="38"/>
      <c r="BH65" s="35"/>
      <c r="BI65" s="35"/>
      <c r="BJ65" s="35"/>
    </row>
    <row r="66" ht="84" spans="1:62">
      <c r="A66" s="28" t="s">
        <v>69</v>
      </c>
      <c r="B66" s="28">
        <v>62</v>
      </c>
      <c r="C66" s="29" t="s">
        <v>70</v>
      </c>
      <c r="D66" s="29" t="s">
        <v>163</v>
      </c>
      <c r="E66" s="29" t="s">
        <v>158</v>
      </c>
      <c r="F66" s="33"/>
      <c r="G66" s="30">
        <v>13</v>
      </c>
      <c r="H66" s="31" t="s">
        <v>73</v>
      </c>
      <c r="I66" s="32" t="s">
        <v>178</v>
      </c>
      <c r="J66" s="31">
        <v>2023</v>
      </c>
      <c r="K66" s="31">
        <v>2023</v>
      </c>
      <c r="L66" s="31" t="s">
        <v>75</v>
      </c>
      <c r="M66" s="33" t="s">
        <v>107</v>
      </c>
      <c r="N66" s="33">
        <v>174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35"/>
      <c r="AS66" s="35"/>
      <c r="AT66" s="8">
        <v>62</v>
      </c>
      <c r="AU66" s="35"/>
      <c r="AV66" s="40"/>
      <c r="AW66" s="40"/>
      <c r="AX66" s="35"/>
      <c r="AY66" s="36"/>
      <c r="AZ66" s="36"/>
      <c r="BA66" s="36"/>
      <c r="BB66" s="36"/>
      <c r="BC66" s="36"/>
      <c r="BD66" s="35" t="e">
        <f t="shared" si="1"/>
        <v>#DIV/0!</v>
      </c>
      <c r="BE66" s="37">
        <v>666.67</v>
      </c>
      <c r="BF66" s="37">
        <v>74</v>
      </c>
      <c r="BG66" s="38"/>
      <c r="BH66" s="35"/>
      <c r="BI66" s="35"/>
      <c r="BJ66" s="35"/>
    </row>
    <row r="67" ht="84" spans="1:62">
      <c r="A67" s="28" t="s">
        <v>69</v>
      </c>
      <c r="B67" s="28">
        <v>63</v>
      </c>
      <c r="C67" s="29" t="s">
        <v>70</v>
      </c>
      <c r="D67" s="29" t="s">
        <v>163</v>
      </c>
      <c r="E67" s="29" t="s">
        <v>158</v>
      </c>
      <c r="F67" s="33"/>
      <c r="G67" s="30">
        <v>14</v>
      </c>
      <c r="H67" s="31" t="s">
        <v>73</v>
      </c>
      <c r="I67" s="32" t="s">
        <v>179</v>
      </c>
      <c r="J67" s="31">
        <v>2023</v>
      </c>
      <c r="K67" s="31">
        <v>2023</v>
      </c>
      <c r="L67" s="31" t="s">
        <v>75</v>
      </c>
      <c r="M67" s="33" t="s">
        <v>177</v>
      </c>
      <c r="N67" s="33">
        <v>48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35"/>
      <c r="AS67" s="35"/>
      <c r="AT67" s="8">
        <v>63</v>
      </c>
      <c r="AU67" s="35"/>
      <c r="AV67" s="40"/>
      <c r="AW67" s="40"/>
      <c r="AX67" s="35"/>
      <c r="AY67" s="36"/>
      <c r="AZ67" s="36"/>
      <c r="BA67" s="36"/>
      <c r="BB67" s="36"/>
      <c r="BC67" s="36"/>
      <c r="BD67" s="35" t="e">
        <f t="shared" si="1"/>
        <v>#DIV/0!</v>
      </c>
      <c r="BE67" s="37">
        <v>666.67</v>
      </c>
      <c r="BF67" s="37">
        <v>74</v>
      </c>
      <c r="BG67" s="38"/>
      <c r="BH67" s="35"/>
      <c r="BI67" s="35"/>
      <c r="BJ67" s="35"/>
    </row>
    <row r="68" ht="84" spans="1:62">
      <c r="A68" s="28" t="s">
        <v>69</v>
      </c>
      <c r="B68" s="28">
        <v>64</v>
      </c>
      <c r="C68" s="29" t="s">
        <v>70</v>
      </c>
      <c r="D68" s="29" t="s">
        <v>163</v>
      </c>
      <c r="E68" s="29" t="s">
        <v>158</v>
      </c>
      <c r="F68" s="33"/>
      <c r="G68" s="30">
        <v>19</v>
      </c>
      <c r="H68" s="31" t="s">
        <v>73</v>
      </c>
      <c r="I68" s="32" t="s">
        <v>180</v>
      </c>
      <c r="J68" s="31">
        <v>2023</v>
      </c>
      <c r="K68" s="31">
        <v>2023</v>
      </c>
      <c r="L68" s="31" t="s">
        <v>75</v>
      </c>
      <c r="M68" s="33" t="s">
        <v>80</v>
      </c>
      <c r="N68" s="33">
        <v>41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35"/>
      <c r="AS68" s="35"/>
      <c r="AT68" s="8">
        <v>64</v>
      </c>
      <c r="AU68" s="35"/>
      <c r="AV68" s="40"/>
      <c r="AW68" s="40"/>
      <c r="AX68" s="35"/>
      <c r="AY68" s="36"/>
      <c r="AZ68" s="36"/>
      <c r="BA68" s="36"/>
      <c r="BB68" s="36"/>
      <c r="BC68" s="36"/>
      <c r="BD68" s="35" t="e">
        <f t="shared" si="1"/>
        <v>#DIV/0!</v>
      </c>
      <c r="BE68" s="37">
        <v>666.67</v>
      </c>
      <c r="BF68" s="37">
        <v>74</v>
      </c>
      <c r="BG68" s="38"/>
      <c r="BH68" s="35"/>
      <c r="BI68" s="35"/>
      <c r="BJ68" s="35"/>
    </row>
    <row r="69" ht="84" spans="1:62">
      <c r="A69" s="28" t="s">
        <v>69</v>
      </c>
      <c r="B69" s="28">
        <v>65</v>
      </c>
      <c r="C69" s="29" t="s">
        <v>70</v>
      </c>
      <c r="D69" s="29" t="s">
        <v>163</v>
      </c>
      <c r="E69" s="29" t="s">
        <v>158</v>
      </c>
      <c r="F69" s="33"/>
      <c r="G69" s="30">
        <v>21</v>
      </c>
      <c r="H69" s="31" t="s">
        <v>73</v>
      </c>
      <c r="I69" s="32" t="s">
        <v>181</v>
      </c>
      <c r="J69" s="31">
        <v>2023</v>
      </c>
      <c r="K69" s="31">
        <v>2023</v>
      </c>
      <c r="L69" s="31" t="s">
        <v>75</v>
      </c>
      <c r="M69" s="33" t="s">
        <v>76</v>
      </c>
      <c r="N69" s="33">
        <v>19</v>
      </c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35"/>
      <c r="AS69" s="35"/>
      <c r="AT69" s="8">
        <v>65</v>
      </c>
      <c r="AU69" s="35"/>
      <c r="AV69" s="40"/>
      <c r="AW69" s="40"/>
      <c r="AX69" s="35"/>
      <c r="AY69" s="36"/>
      <c r="AZ69" s="36"/>
      <c r="BA69" s="36"/>
      <c r="BB69" s="36"/>
      <c r="BC69" s="36"/>
      <c r="BD69" s="35" t="e">
        <f t="shared" si="1"/>
        <v>#DIV/0!</v>
      </c>
      <c r="BE69" s="37">
        <v>666.67</v>
      </c>
      <c r="BF69" s="37">
        <v>74</v>
      </c>
      <c r="BG69" s="38"/>
      <c r="BH69" s="35"/>
      <c r="BI69" s="35"/>
      <c r="BJ69" s="35"/>
    </row>
    <row r="70" ht="84" spans="1:62">
      <c r="A70" s="28" t="s">
        <v>69</v>
      </c>
      <c r="B70" s="28">
        <v>66</v>
      </c>
      <c r="C70" s="29" t="s">
        <v>70</v>
      </c>
      <c r="D70" s="29" t="s">
        <v>163</v>
      </c>
      <c r="E70" s="29" t="s">
        <v>158</v>
      </c>
      <c r="F70" s="33"/>
      <c r="G70" s="30">
        <v>22</v>
      </c>
      <c r="H70" s="31" t="s">
        <v>73</v>
      </c>
      <c r="I70" s="32" t="s">
        <v>182</v>
      </c>
      <c r="J70" s="31">
        <v>2023</v>
      </c>
      <c r="K70" s="31">
        <v>2023</v>
      </c>
      <c r="L70" s="31" t="s">
        <v>75</v>
      </c>
      <c r="M70" s="33" t="s">
        <v>183</v>
      </c>
      <c r="N70" s="33">
        <v>15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35"/>
      <c r="AS70" s="35"/>
      <c r="AT70" s="8">
        <v>66</v>
      </c>
      <c r="AU70" s="35"/>
      <c r="AV70" s="40"/>
      <c r="AW70" s="40"/>
      <c r="AX70" s="35"/>
      <c r="AY70" s="36"/>
      <c r="AZ70" s="36"/>
      <c r="BA70" s="36"/>
      <c r="BB70" s="36"/>
      <c r="BC70" s="36"/>
      <c r="BD70" s="35" t="e">
        <f t="shared" ref="BD70:BD98" si="2">(AY70+AZ70+BA70+BB70+BC70)/AU70</f>
        <v>#DIV/0!</v>
      </c>
      <c r="BE70" s="37">
        <v>666.67</v>
      </c>
      <c r="BF70" s="37">
        <v>74</v>
      </c>
      <c r="BG70" s="38"/>
      <c r="BH70" s="35"/>
      <c r="BI70" s="35"/>
      <c r="BJ70" s="35"/>
    </row>
    <row r="71" ht="84" spans="1:62">
      <c r="A71" s="28" t="s">
        <v>69</v>
      </c>
      <c r="B71" s="28">
        <v>67</v>
      </c>
      <c r="C71" s="29" t="s">
        <v>70</v>
      </c>
      <c r="D71" s="29" t="s">
        <v>163</v>
      </c>
      <c r="E71" s="29" t="s">
        <v>158</v>
      </c>
      <c r="F71" s="33"/>
      <c r="G71" s="30">
        <v>23</v>
      </c>
      <c r="H71" s="31" t="s">
        <v>73</v>
      </c>
      <c r="I71" s="32" t="s">
        <v>184</v>
      </c>
      <c r="J71" s="31">
        <v>2023</v>
      </c>
      <c r="K71" s="31">
        <v>2023</v>
      </c>
      <c r="L71" s="31" t="s">
        <v>75</v>
      </c>
      <c r="M71" s="33" t="s">
        <v>105</v>
      </c>
      <c r="N71" s="33">
        <v>30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35"/>
      <c r="AS71" s="35"/>
      <c r="AT71" s="8">
        <v>67</v>
      </c>
      <c r="AU71" s="35"/>
      <c r="AV71" s="40"/>
      <c r="AW71" s="40"/>
      <c r="AX71" s="35"/>
      <c r="AY71" s="36"/>
      <c r="AZ71" s="36"/>
      <c r="BA71" s="36"/>
      <c r="BB71" s="36"/>
      <c r="BC71" s="36"/>
      <c r="BD71" s="35" t="e">
        <f t="shared" si="2"/>
        <v>#DIV/0!</v>
      </c>
      <c r="BE71" s="37">
        <v>666.67</v>
      </c>
      <c r="BF71" s="37">
        <v>74</v>
      </c>
      <c r="BG71" s="38"/>
      <c r="BH71" s="35"/>
      <c r="BI71" s="35"/>
      <c r="BJ71" s="35"/>
    </row>
    <row r="72" ht="84" spans="1:62">
      <c r="A72" s="28" t="s">
        <v>69</v>
      </c>
      <c r="B72" s="28">
        <v>68</v>
      </c>
      <c r="C72" s="29" t="s">
        <v>70</v>
      </c>
      <c r="D72" s="29" t="s">
        <v>163</v>
      </c>
      <c r="E72" s="29" t="s">
        <v>158</v>
      </c>
      <c r="F72" s="33"/>
      <c r="G72" s="30">
        <v>24</v>
      </c>
      <c r="H72" s="31" t="s">
        <v>73</v>
      </c>
      <c r="I72" s="32" t="s">
        <v>185</v>
      </c>
      <c r="J72" s="31">
        <v>2023</v>
      </c>
      <c r="K72" s="31">
        <v>2023</v>
      </c>
      <c r="L72" s="31" t="s">
        <v>75</v>
      </c>
      <c r="M72" s="33" t="s">
        <v>183</v>
      </c>
      <c r="N72" s="33">
        <v>14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35"/>
      <c r="AS72" s="35"/>
      <c r="AT72" s="8">
        <v>68</v>
      </c>
      <c r="AU72" s="35"/>
      <c r="AV72" s="40"/>
      <c r="AW72" s="40"/>
      <c r="AX72" s="35"/>
      <c r="AY72" s="36"/>
      <c r="AZ72" s="36"/>
      <c r="BA72" s="36"/>
      <c r="BB72" s="36"/>
      <c r="BC72" s="36"/>
      <c r="BD72" s="35" t="e">
        <f t="shared" si="2"/>
        <v>#DIV/0!</v>
      </c>
      <c r="BE72" s="37">
        <v>666.67</v>
      </c>
      <c r="BF72" s="37">
        <v>74</v>
      </c>
      <c r="BG72" s="38"/>
      <c r="BH72" s="35"/>
      <c r="BI72" s="35"/>
      <c r="BJ72" s="35"/>
    </row>
    <row r="73" ht="84" spans="1:62">
      <c r="A73" s="28" t="s">
        <v>69</v>
      </c>
      <c r="B73" s="28">
        <v>69</v>
      </c>
      <c r="C73" s="29" t="s">
        <v>70</v>
      </c>
      <c r="D73" s="29" t="s">
        <v>163</v>
      </c>
      <c r="E73" s="29" t="s">
        <v>158</v>
      </c>
      <c r="F73" s="33"/>
      <c r="G73" s="30">
        <v>25</v>
      </c>
      <c r="H73" s="31" t="s">
        <v>73</v>
      </c>
      <c r="I73" s="32" t="s">
        <v>186</v>
      </c>
      <c r="J73" s="31">
        <v>2023</v>
      </c>
      <c r="K73" s="31">
        <v>2023</v>
      </c>
      <c r="L73" s="31" t="s">
        <v>75</v>
      </c>
      <c r="M73" s="33" t="s">
        <v>183</v>
      </c>
      <c r="N73" s="33">
        <v>73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35"/>
      <c r="AS73" s="35"/>
      <c r="AT73" s="8">
        <v>69</v>
      </c>
      <c r="AU73" s="35"/>
      <c r="AV73" s="40"/>
      <c r="AW73" s="40"/>
      <c r="AX73" s="35"/>
      <c r="AY73" s="36"/>
      <c r="AZ73" s="36"/>
      <c r="BA73" s="36"/>
      <c r="BB73" s="36"/>
      <c r="BC73" s="36"/>
      <c r="BD73" s="35" t="e">
        <f t="shared" si="2"/>
        <v>#DIV/0!</v>
      </c>
      <c r="BE73" s="37">
        <v>666.67</v>
      </c>
      <c r="BF73" s="37">
        <v>74</v>
      </c>
      <c r="BG73" s="38"/>
      <c r="BH73" s="35"/>
      <c r="BI73" s="35"/>
      <c r="BJ73" s="35"/>
    </row>
    <row r="74" ht="84" spans="1:62">
      <c r="A74" s="28" t="s">
        <v>69</v>
      </c>
      <c r="B74" s="28">
        <v>70</v>
      </c>
      <c r="C74" s="29" t="s">
        <v>70</v>
      </c>
      <c r="D74" s="29" t="s">
        <v>163</v>
      </c>
      <c r="E74" s="29" t="s">
        <v>158</v>
      </c>
      <c r="F74" s="33"/>
      <c r="G74" s="30">
        <v>4</v>
      </c>
      <c r="H74" s="31" t="s">
        <v>73</v>
      </c>
      <c r="I74" s="32" t="s">
        <v>187</v>
      </c>
      <c r="J74" s="31">
        <v>2023</v>
      </c>
      <c r="K74" s="31">
        <v>2023</v>
      </c>
      <c r="L74" s="31" t="s">
        <v>75</v>
      </c>
      <c r="M74" s="33" t="s">
        <v>105</v>
      </c>
      <c r="N74" s="33">
        <v>12</v>
      </c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35"/>
      <c r="AS74" s="35"/>
      <c r="AT74" s="8">
        <v>70</v>
      </c>
      <c r="AU74" s="35"/>
      <c r="AV74" s="40"/>
      <c r="AW74" s="40"/>
      <c r="AX74" s="35"/>
      <c r="AY74" s="36"/>
      <c r="AZ74" s="36"/>
      <c r="BA74" s="36"/>
      <c r="BB74" s="36"/>
      <c r="BC74" s="36"/>
      <c r="BD74" s="35" t="e">
        <f t="shared" si="2"/>
        <v>#DIV/0!</v>
      </c>
      <c r="BE74" s="37">
        <v>666.67</v>
      </c>
      <c r="BF74" s="37">
        <v>74</v>
      </c>
      <c r="BG74" s="38"/>
      <c r="BH74" s="35"/>
      <c r="BI74" s="35"/>
      <c r="BJ74" s="35"/>
    </row>
    <row r="75" ht="84" spans="1:62">
      <c r="A75" s="28" t="s">
        <v>69</v>
      </c>
      <c r="B75" s="28">
        <v>71</v>
      </c>
      <c r="C75" s="29" t="s">
        <v>70</v>
      </c>
      <c r="D75" s="29" t="s">
        <v>163</v>
      </c>
      <c r="E75" s="29" t="s">
        <v>158</v>
      </c>
      <c r="F75" s="33"/>
      <c r="G75" s="30">
        <v>5</v>
      </c>
      <c r="H75" s="31" t="s">
        <v>73</v>
      </c>
      <c r="I75" s="32" t="s">
        <v>188</v>
      </c>
      <c r="J75" s="31">
        <v>2023</v>
      </c>
      <c r="K75" s="31">
        <v>2023</v>
      </c>
      <c r="L75" s="31" t="s">
        <v>75</v>
      </c>
      <c r="M75" s="33" t="s">
        <v>80</v>
      </c>
      <c r="N75" s="33">
        <v>25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35"/>
      <c r="AS75" s="35"/>
      <c r="AT75" s="8">
        <v>71</v>
      </c>
      <c r="AU75" s="35"/>
      <c r="AV75" s="40"/>
      <c r="AW75" s="40"/>
      <c r="AX75" s="35"/>
      <c r="AY75" s="36"/>
      <c r="AZ75" s="36"/>
      <c r="BA75" s="36"/>
      <c r="BB75" s="36"/>
      <c r="BC75" s="36"/>
      <c r="BD75" s="35" t="e">
        <f t="shared" si="2"/>
        <v>#DIV/0!</v>
      </c>
      <c r="BE75" s="37">
        <v>666.67</v>
      </c>
      <c r="BF75" s="37">
        <v>60</v>
      </c>
      <c r="BG75" s="38"/>
      <c r="BH75" s="35"/>
      <c r="BI75" s="35"/>
      <c r="BJ75" s="35"/>
    </row>
    <row r="76" ht="84" spans="1:62">
      <c r="A76" s="28" t="s">
        <v>69</v>
      </c>
      <c r="B76" s="28">
        <v>72</v>
      </c>
      <c r="C76" s="29" t="s">
        <v>70</v>
      </c>
      <c r="D76" s="29" t="s">
        <v>163</v>
      </c>
      <c r="E76" s="29" t="s">
        <v>158</v>
      </c>
      <c r="F76" s="33"/>
      <c r="G76" s="30">
        <v>6</v>
      </c>
      <c r="H76" s="31" t="s">
        <v>73</v>
      </c>
      <c r="I76" s="32" t="s">
        <v>189</v>
      </c>
      <c r="J76" s="31">
        <v>2023</v>
      </c>
      <c r="K76" s="31">
        <v>2023</v>
      </c>
      <c r="L76" s="31" t="s">
        <v>75</v>
      </c>
      <c r="M76" s="33" t="s">
        <v>105</v>
      </c>
      <c r="N76" s="33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35"/>
      <c r="AS76" s="35"/>
      <c r="AT76" s="8">
        <v>72</v>
      </c>
      <c r="AU76" s="35"/>
      <c r="AV76" s="40"/>
      <c r="AW76" s="40"/>
      <c r="AX76" s="35"/>
      <c r="AY76" s="36"/>
      <c r="AZ76" s="36"/>
      <c r="BA76" s="36"/>
      <c r="BB76" s="36"/>
      <c r="BC76" s="36"/>
      <c r="BD76" s="35" t="e">
        <f t="shared" si="2"/>
        <v>#DIV/0!</v>
      </c>
      <c r="BE76" s="37">
        <v>666.67</v>
      </c>
      <c r="BF76" s="37">
        <v>74</v>
      </c>
      <c r="BG76" s="38"/>
      <c r="BH76" s="35"/>
      <c r="BI76" s="35"/>
      <c r="BJ76" s="35"/>
    </row>
    <row r="77" ht="84" spans="1:62">
      <c r="A77" s="28" t="s">
        <v>69</v>
      </c>
      <c r="B77" s="28">
        <v>73</v>
      </c>
      <c r="C77" s="29" t="s">
        <v>70</v>
      </c>
      <c r="D77" s="29" t="s">
        <v>163</v>
      </c>
      <c r="E77" s="29" t="s">
        <v>158</v>
      </c>
      <c r="F77" s="33"/>
      <c r="G77" s="30">
        <v>7</v>
      </c>
      <c r="H77" s="31" t="s">
        <v>73</v>
      </c>
      <c r="I77" s="32" t="s">
        <v>190</v>
      </c>
      <c r="J77" s="31">
        <v>2023</v>
      </c>
      <c r="K77" s="31">
        <v>2023</v>
      </c>
      <c r="L77" s="31" t="s">
        <v>75</v>
      </c>
      <c r="M77" s="33" t="s">
        <v>80</v>
      </c>
      <c r="N77" s="33">
        <v>16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35"/>
      <c r="AS77" s="35"/>
      <c r="AT77" s="8">
        <v>73</v>
      </c>
      <c r="AU77" s="35"/>
      <c r="AV77" s="40"/>
      <c r="AW77" s="40"/>
      <c r="AX77" s="35"/>
      <c r="AY77" s="36"/>
      <c r="AZ77" s="36"/>
      <c r="BA77" s="36"/>
      <c r="BB77" s="36"/>
      <c r="BC77" s="36"/>
      <c r="BD77" s="35" t="e">
        <f t="shared" si="2"/>
        <v>#DIV/0!</v>
      </c>
      <c r="BE77" s="37">
        <v>666.67</v>
      </c>
      <c r="BF77" s="37">
        <v>60</v>
      </c>
      <c r="BG77" s="38"/>
      <c r="BH77" s="35"/>
      <c r="BI77" s="35"/>
      <c r="BJ77" s="35"/>
    </row>
    <row r="78" ht="84" spans="1:62">
      <c r="A78" s="28" t="s">
        <v>69</v>
      </c>
      <c r="B78" s="28">
        <v>74</v>
      </c>
      <c r="C78" s="29" t="s">
        <v>70</v>
      </c>
      <c r="D78" s="29" t="s">
        <v>163</v>
      </c>
      <c r="E78" s="29" t="s">
        <v>158</v>
      </c>
      <c r="F78" s="33"/>
      <c r="G78" s="30">
        <v>8</v>
      </c>
      <c r="H78" s="31" t="s">
        <v>73</v>
      </c>
      <c r="I78" s="32" t="s">
        <v>191</v>
      </c>
      <c r="J78" s="31">
        <v>2023</v>
      </c>
      <c r="K78" s="31">
        <v>2023</v>
      </c>
      <c r="L78" s="31" t="s">
        <v>75</v>
      </c>
      <c r="M78" s="33" t="s">
        <v>78</v>
      </c>
      <c r="N78" s="33">
        <v>100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35"/>
      <c r="AS78" s="35"/>
      <c r="AT78" s="8">
        <v>74</v>
      </c>
      <c r="AU78" s="35"/>
      <c r="AV78" s="40"/>
      <c r="AW78" s="40"/>
      <c r="AX78" s="35"/>
      <c r="AY78" s="36"/>
      <c r="AZ78" s="36"/>
      <c r="BA78" s="36"/>
      <c r="BB78" s="36"/>
      <c r="BC78" s="36"/>
      <c r="BD78" s="35" t="e">
        <f t="shared" si="2"/>
        <v>#DIV/0!</v>
      </c>
      <c r="BE78" s="37">
        <v>666.67</v>
      </c>
      <c r="BF78" s="37">
        <v>111</v>
      </c>
      <c r="BG78" s="38"/>
      <c r="BH78" s="35"/>
      <c r="BI78" s="35"/>
      <c r="BJ78" s="35"/>
    </row>
    <row r="79" ht="84" spans="1:62">
      <c r="A79" s="28" t="s">
        <v>69</v>
      </c>
      <c r="B79" s="28">
        <v>75</v>
      </c>
      <c r="C79" s="29" t="s">
        <v>70</v>
      </c>
      <c r="D79" s="29" t="s">
        <v>163</v>
      </c>
      <c r="E79" s="29" t="s">
        <v>158</v>
      </c>
      <c r="F79" s="33"/>
      <c r="G79" s="30">
        <v>9</v>
      </c>
      <c r="H79" s="31" t="s">
        <v>73</v>
      </c>
      <c r="I79" s="32" t="s">
        <v>192</v>
      </c>
      <c r="J79" s="31">
        <v>2023</v>
      </c>
      <c r="K79" s="31">
        <v>2023</v>
      </c>
      <c r="L79" s="31" t="s">
        <v>75</v>
      </c>
      <c r="M79" s="33" t="s">
        <v>78</v>
      </c>
      <c r="N79" s="33">
        <v>69</v>
      </c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35"/>
      <c r="AS79" s="35"/>
      <c r="AT79" s="8">
        <v>75</v>
      </c>
      <c r="AU79" s="35"/>
      <c r="AV79" s="40"/>
      <c r="AW79" s="40"/>
      <c r="AX79" s="35"/>
      <c r="AY79" s="36"/>
      <c r="AZ79" s="36"/>
      <c r="BA79" s="36"/>
      <c r="BB79" s="36"/>
      <c r="BC79" s="36"/>
      <c r="BD79" s="35" t="e">
        <f t="shared" si="2"/>
        <v>#DIV/0!</v>
      </c>
      <c r="BE79" s="37">
        <v>666.67</v>
      </c>
      <c r="BF79" s="37">
        <v>74</v>
      </c>
      <c r="BG79" s="38"/>
      <c r="BH79" s="35"/>
      <c r="BI79" s="35"/>
      <c r="BJ79" s="35"/>
    </row>
    <row r="80" ht="84" spans="1:62">
      <c r="A80" s="28" t="s">
        <v>69</v>
      </c>
      <c r="B80" s="28">
        <v>76</v>
      </c>
      <c r="C80" s="29" t="s">
        <v>70</v>
      </c>
      <c r="D80" s="29" t="s">
        <v>163</v>
      </c>
      <c r="E80" s="29" t="s">
        <v>193</v>
      </c>
      <c r="F80" s="33"/>
      <c r="G80" s="30">
        <v>15</v>
      </c>
      <c r="H80" s="31" t="s">
        <v>73</v>
      </c>
      <c r="I80" s="32" t="s">
        <v>194</v>
      </c>
      <c r="J80" s="31">
        <v>2023</v>
      </c>
      <c r="K80" s="31">
        <v>2023</v>
      </c>
      <c r="L80" s="31" t="s">
        <v>75</v>
      </c>
      <c r="M80" s="33" t="s">
        <v>105</v>
      </c>
      <c r="N80" s="33">
        <v>22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35"/>
      <c r="AS80" s="35"/>
      <c r="AT80" s="8">
        <v>76</v>
      </c>
      <c r="AU80" s="35"/>
      <c r="AV80" s="40"/>
      <c r="AW80" s="40"/>
      <c r="AX80" s="35"/>
      <c r="AY80" s="36"/>
      <c r="AZ80" s="36"/>
      <c r="BA80" s="36"/>
      <c r="BB80" s="36"/>
      <c r="BC80" s="36"/>
      <c r="BD80" s="35" t="e">
        <f t="shared" si="2"/>
        <v>#DIV/0!</v>
      </c>
      <c r="BE80" s="37">
        <v>666.67</v>
      </c>
      <c r="BF80" s="37">
        <v>111</v>
      </c>
      <c r="BG80" s="38"/>
      <c r="BH80" s="35"/>
      <c r="BI80" s="35"/>
      <c r="BJ80" s="35"/>
    </row>
    <row r="81" ht="84" spans="1:62">
      <c r="A81" s="28" t="s">
        <v>69</v>
      </c>
      <c r="B81" s="28">
        <v>77</v>
      </c>
      <c r="C81" s="29" t="s">
        <v>70</v>
      </c>
      <c r="D81" s="29" t="s">
        <v>163</v>
      </c>
      <c r="E81" s="29" t="s">
        <v>193</v>
      </c>
      <c r="F81" s="33"/>
      <c r="G81" s="30">
        <v>17</v>
      </c>
      <c r="H81" s="31" t="s">
        <v>73</v>
      </c>
      <c r="I81" s="32" t="s">
        <v>195</v>
      </c>
      <c r="J81" s="31">
        <v>2023</v>
      </c>
      <c r="K81" s="31">
        <v>2023</v>
      </c>
      <c r="L81" s="31" t="s">
        <v>75</v>
      </c>
      <c r="M81" s="33" t="s">
        <v>78</v>
      </c>
      <c r="N81" s="33">
        <v>10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35"/>
      <c r="AS81" s="35"/>
      <c r="AT81" s="8">
        <v>77</v>
      </c>
      <c r="AU81" s="35"/>
      <c r="AV81" s="40"/>
      <c r="AW81" s="40"/>
      <c r="AX81" s="35"/>
      <c r="AY81" s="36"/>
      <c r="AZ81" s="36"/>
      <c r="BA81" s="36"/>
      <c r="BB81" s="36"/>
      <c r="BC81" s="36"/>
      <c r="BD81" s="35" t="e">
        <f t="shared" si="2"/>
        <v>#DIV/0!</v>
      </c>
      <c r="BE81" s="37">
        <v>666.67</v>
      </c>
      <c r="BF81" s="37">
        <v>60</v>
      </c>
      <c r="BG81" s="38"/>
      <c r="BH81" s="35"/>
      <c r="BI81" s="35"/>
      <c r="BJ81" s="35"/>
    </row>
    <row r="82" ht="84" spans="1:62">
      <c r="A82" s="28" t="s">
        <v>69</v>
      </c>
      <c r="B82" s="28">
        <v>78</v>
      </c>
      <c r="C82" s="29" t="s">
        <v>70</v>
      </c>
      <c r="D82" s="29" t="s">
        <v>163</v>
      </c>
      <c r="E82" s="29" t="s">
        <v>193</v>
      </c>
      <c r="F82" s="33"/>
      <c r="G82" s="30">
        <v>18</v>
      </c>
      <c r="H82" s="31" t="s">
        <v>73</v>
      </c>
      <c r="I82" s="32" t="s">
        <v>196</v>
      </c>
      <c r="J82" s="31">
        <v>2023</v>
      </c>
      <c r="K82" s="31">
        <v>2023</v>
      </c>
      <c r="L82" s="31" t="s">
        <v>75</v>
      </c>
      <c r="M82" s="33" t="s">
        <v>91</v>
      </c>
      <c r="N82" s="33">
        <v>65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35"/>
      <c r="AS82" s="35"/>
      <c r="AT82" s="8">
        <v>78</v>
      </c>
      <c r="AU82" s="35"/>
      <c r="AV82" s="40"/>
      <c r="AW82" s="40"/>
      <c r="AX82" s="35"/>
      <c r="AY82" s="36"/>
      <c r="AZ82" s="36"/>
      <c r="BA82" s="36"/>
      <c r="BB82" s="36"/>
      <c r="BC82" s="36"/>
      <c r="BD82" s="35" t="e">
        <f t="shared" si="2"/>
        <v>#DIV/0!</v>
      </c>
      <c r="BE82" s="37">
        <v>666.67</v>
      </c>
      <c r="BF82" s="37">
        <v>111</v>
      </c>
      <c r="BG82" s="38"/>
      <c r="BH82" s="35"/>
      <c r="BI82" s="35"/>
      <c r="BJ82" s="35"/>
    </row>
    <row r="83" ht="84" spans="1:62">
      <c r="A83" s="28" t="s">
        <v>69</v>
      </c>
      <c r="B83" s="28">
        <v>79</v>
      </c>
      <c r="C83" s="29" t="s">
        <v>70</v>
      </c>
      <c r="D83" s="29" t="s">
        <v>163</v>
      </c>
      <c r="E83" s="29" t="s">
        <v>193</v>
      </c>
      <c r="F83" s="33"/>
      <c r="G83" s="30">
        <v>20</v>
      </c>
      <c r="H83" s="31" t="s">
        <v>73</v>
      </c>
      <c r="I83" s="32" t="s">
        <v>197</v>
      </c>
      <c r="J83" s="31">
        <v>2023</v>
      </c>
      <c r="K83" s="31">
        <v>2023</v>
      </c>
      <c r="L83" s="31" t="s">
        <v>75</v>
      </c>
      <c r="M83" s="33" t="s">
        <v>143</v>
      </c>
      <c r="N83" s="33">
        <v>25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35"/>
      <c r="AS83" s="35"/>
      <c r="AT83" s="8">
        <v>79</v>
      </c>
      <c r="AU83" s="35"/>
      <c r="AV83" s="40"/>
      <c r="AW83" s="40"/>
      <c r="AX83" s="35"/>
      <c r="AY83" s="36"/>
      <c r="AZ83" s="36"/>
      <c r="BA83" s="36"/>
      <c r="BB83" s="36"/>
      <c r="BC83" s="36"/>
      <c r="BD83" s="35" t="e">
        <f t="shared" si="2"/>
        <v>#DIV/0!</v>
      </c>
      <c r="BE83" s="37">
        <v>666.67</v>
      </c>
      <c r="BF83" s="37">
        <v>111</v>
      </c>
      <c r="BG83" s="38"/>
      <c r="BH83" s="35"/>
      <c r="BI83" s="35"/>
      <c r="BJ83" s="35"/>
    </row>
    <row r="84" ht="84" spans="1:62">
      <c r="A84" s="28" t="s">
        <v>69</v>
      </c>
      <c r="B84" s="28">
        <v>80</v>
      </c>
      <c r="C84" s="29" t="s">
        <v>70</v>
      </c>
      <c r="D84" s="29" t="s">
        <v>163</v>
      </c>
      <c r="E84" s="29" t="s">
        <v>198</v>
      </c>
      <c r="F84" s="33"/>
      <c r="G84" s="30">
        <v>2</v>
      </c>
      <c r="H84" s="31" t="s">
        <v>73</v>
      </c>
      <c r="I84" s="32" t="s">
        <v>199</v>
      </c>
      <c r="J84" s="31">
        <v>2023</v>
      </c>
      <c r="K84" s="31">
        <v>2023</v>
      </c>
      <c r="L84" s="31" t="s">
        <v>75</v>
      </c>
      <c r="M84" s="33" t="s">
        <v>78</v>
      </c>
      <c r="N84" s="33">
        <v>60</v>
      </c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35"/>
      <c r="AS84" s="35"/>
      <c r="AT84" s="8">
        <v>80</v>
      </c>
      <c r="AU84" s="35"/>
      <c r="AV84" s="40"/>
      <c r="AW84" s="40"/>
      <c r="AX84" s="35"/>
      <c r="AY84" s="36"/>
      <c r="AZ84" s="36"/>
      <c r="BA84" s="36"/>
      <c r="BB84" s="36"/>
      <c r="BC84" s="36"/>
      <c r="BD84" s="35" t="e">
        <f t="shared" si="2"/>
        <v>#DIV/0!</v>
      </c>
      <c r="BE84" s="37">
        <v>666.67</v>
      </c>
      <c r="BF84" s="37">
        <v>74</v>
      </c>
      <c r="BG84" s="38"/>
      <c r="BH84" s="35"/>
      <c r="BI84" s="35"/>
      <c r="BJ84" s="35"/>
    </row>
    <row r="85" ht="84" spans="1:62">
      <c r="A85" s="28" t="s">
        <v>69</v>
      </c>
      <c r="B85" s="28">
        <v>81</v>
      </c>
      <c r="C85" s="29" t="s">
        <v>70</v>
      </c>
      <c r="D85" s="29" t="s">
        <v>163</v>
      </c>
      <c r="E85" s="29" t="s">
        <v>200</v>
      </c>
      <c r="F85" s="33"/>
      <c r="G85" s="30">
        <v>39</v>
      </c>
      <c r="H85" s="31" t="s">
        <v>73</v>
      </c>
      <c r="I85" s="32" t="s">
        <v>201</v>
      </c>
      <c r="J85" s="31">
        <v>2023</v>
      </c>
      <c r="K85" s="31">
        <v>2023</v>
      </c>
      <c r="L85" s="31" t="s">
        <v>75</v>
      </c>
      <c r="M85" s="33" t="s">
        <v>183</v>
      </c>
      <c r="N85" s="33">
        <v>67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35"/>
      <c r="AS85" s="35"/>
      <c r="AT85" s="8">
        <v>81</v>
      </c>
      <c r="AU85" s="35"/>
      <c r="AV85" s="40"/>
      <c r="AW85" s="40"/>
      <c r="AX85" s="35"/>
      <c r="AY85" s="36"/>
      <c r="AZ85" s="36"/>
      <c r="BA85" s="36"/>
      <c r="BB85" s="36"/>
      <c r="BC85" s="36"/>
      <c r="BD85" s="35" t="e">
        <f t="shared" si="2"/>
        <v>#DIV/0!</v>
      </c>
      <c r="BE85" s="37">
        <v>666.67</v>
      </c>
      <c r="BF85" s="37">
        <v>74</v>
      </c>
      <c r="BG85" s="38"/>
      <c r="BH85" s="35"/>
      <c r="BI85" s="35"/>
      <c r="BJ85" s="35"/>
    </row>
    <row r="86" ht="84" spans="1:62">
      <c r="A86" s="28" t="s">
        <v>69</v>
      </c>
      <c r="B86" s="28">
        <v>82</v>
      </c>
      <c r="C86" s="29" t="s">
        <v>70</v>
      </c>
      <c r="D86" s="29" t="s">
        <v>163</v>
      </c>
      <c r="E86" s="29" t="s">
        <v>202</v>
      </c>
      <c r="F86" s="33"/>
      <c r="G86" s="30">
        <v>26</v>
      </c>
      <c r="H86" s="31" t="s">
        <v>73</v>
      </c>
      <c r="I86" s="32" t="s">
        <v>203</v>
      </c>
      <c r="J86" s="31">
        <v>2023</v>
      </c>
      <c r="K86" s="31">
        <v>2023</v>
      </c>
      <c r="L86" s="31" t="s">
        <v>75</v>
      </c>
      <c r="M86" s="33" t="s">
        <v>76</v>
      </c>
      <c r="N86" s="33">
        <v>11</v>
      </c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35"/>
      <c r="AS86" s="35"/>
      <c r="AT86" s="8">
        <v>82</v>
      </c>
      <c r="AU86" s="35"/>
      <c r="AV86" s="40"/>
      <c r="AW86" s="40"/>
      <c r="AX86" s="35"/>
      <c r="AY86" s="36"/>
      <c r="AZ86" s="36"/>
      <c r="BA86" s="36"/>
      <c r="BB86" s="36"/>
      <c r="BC86" s="36"/>
      <c r="BD86" s="35" t="e">
        <f t="shared" si="2"/>
        <v>#DIV/0!</v>
      </c>
      <c r="BE86" s="37">
        <v>666.67</v>
      </c>
      <c r="BF86" s="37">
        <v>60</v>
      </c>
      <c r="BG86" s="38"/>
      <c r="BH86" s="35"/>
      <c r="BI86" s="35"/>
      <c r="BJ86" s="35"/>
    </row>
    <row r="87" ht="84" spans="1:62">
      <c r="A87" s="28" t="s">
        <v>69</v>
      </c>
      <c r="B87" s="28">
        <v>83</v>
      </c>
      <c r="C87" s="29" t="s">
        <v>70</v>
      </c>
      <c r="D87" s="29" t="s">
        <v>163</v>
      </c>
      <c r="E87" s="29" t="s">
        <v>202</v>
      </c>
      <c r="F87" s="33"/>
      <c r="G87" s="30">
        <v>27</v>
      </c>
      <c r="H87" s="31" t="s">
        <v>73</v>
      </c>
      <c r="I87" s="32" t="s">
        <v>204</v>
      </c>
      <c r="J87" s="31">
        <v>2023</v>
      </c>
      <c r="K87" s="31">
        <v>2023</v>
      </c>
      <c r="L87" s="31" t="s">
        <v>102</v>
      </c>
      <c r="M87" s="33" t="s">
        <v>107</v>
      </c>
      <c r="N87" s="33">
        <v>28</v>
      </c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35"/>
      <c r="AS87" s="35"/>
      <c r="AT87" s="8">
        <v>83</v>
      </c>
      <c r="AU87" s="35"/>
      <c r="AV87" s="40"/>
      <c r="AW87" s="40"/>
      <c r="AX87" s="35"/>
      <c r="AY87" s="36"/>
      <c r="AZ87" s="36"/>
      <c r="BA87" s="36"/>
      <c r="BB87" s="36"/>
      <c r="BC87" s="36"/>
      <c r="BD87" s="35" t="e">
        <f t="shared" si="2"/>
        <v>#DIV/0!</v>
      </c>
      <c r="BE87" s="37">
        <v>666.67</v>
      </c>
      <c r="BF87" s="37">
        <v>74</v>
      </c>
      <c r="BG87" s="38"/>
      <c r="BH87" s="35"/>
      <c r="BI87" s="35"/>
      <c r="BJ87" s="35"/>
    </row>
    <row r="88" ht="84" spans="1:62">
      <c r="A88" s="28" t="s">
        <v>69</v>
      </c>
      <c r="B88" s="28">
        <v>84</v>
      </c>
      <c r="C88" s="29" t="s">
        <v>70</v>
      </c>
      <c r="D88" s="29" t="s">
        <v>163</v>
      </c>
      <c r="E88" s="29" t="s">
        <v>202</v>
      </c>
      <c r="F88" s="33"/>
      <c r="G88" s="30">
        <v>28</v>
      </c>
      <c r="H88" s="31" t="s">
        <v>73</v>
      </c>
      <c r="I88" s="32" t="s">
        <v>205</v>
      </c>
      <c r="J88" s="31">
        <v>2023</v>
      </c>
      <c r="K88" s="31">
        <v>2023</v>
      </c>
      <c r="L88" s="31" t="s">
        <v>75</v>
      </c>
      <c r="M88" s="33" t="s">
        <v>105</v>
      </c>
      <c r="N88" s="33">
        <v>19</v>
      </c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35"/>
      <c r="AS88" s="35"/>
      <c r="AT88" s="8">
        <v>84</v>
      </c>
      <c r="AU88" s="35"/>
      <c r="AV88" s="40"/>
      <c r="AW88" s="40"/>
      <c r="AX88" s="35"/>
      <c r="AY88" s="36"/>
      <c r="AZ88" s="36"/>
      <c r="BA88" s="36"/>
      <c r="BB88" s="36"/>
      <c r="BC88" s="36"/>
      <c r="BD88" s="35" t="e">
        <f t="shared" si="2"/>
        <v>#DIV/0!</v>
      </c>
      <c r="BE88" s="37">
        <v>666.67</v>
      </c>
      <c r="BF88" s="37">
        <v>74</v>
      </c>
      <c r="BG88" s="38"/>
      <c r="BH88" s="35"/>
      <c r="BI88" s="35"/>
      <c r="BJ88" s="35"/>
    </row>
    <row r="89" ht="84" spans="1:62">
      <c r="A89" s="28" t="s">
        <v>69</v>
      </c>
      <c r="B89" s="28">
        <v>85</v>
      </c>
      <c r="C89" s="29" t="s">
        <v>70</v>
      </c>
      <c r="D89" s="29" t="s">
        <v>163</v>
      </c>
      <c r="E89" s="29" t="s">
        <v>202</v>
      </c>
      <c r="F89" s="33"/>
      <c r="G89" s="30">
        <v>29</v>
      </c>
      <c r="H89" s="31" t="s">
        <v>73</v>
      </c>
      <c r="I89" s="32" t="s">
        <v>206</v>
      </c>
      <c r="J89" s="31">
        <v>2023</v>
      </c>
      <c r="K89" s="31">
        <v>2023</v>
      </c>
      <c r="L89" s="31" t="s">
        <v>75</v>
      </c>
      <c r="M89" s="33" t="s">
        <v>107</v>
      </c>
      <c r="N89" s="33">
        <v>16</v>
      </c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35"/>
      <c r="AS89" s="35"/>
      <c r="AT89" s="8">
        <v>85</v>
      </c>
      <c r="AU89" s="35"/>
      <c r="AV89" s="40"/>
      <c r="AW89" s="40"/>
      <c r="AX89" s="35"/>
      <c r="AY89" s="36"/>
      <c r="AZ89" s="36"/>
      <c r="BA89" s="36"/>
      <c r="BB89" s="36"/>
      <c r="BC89" s="36"/>
      <c r="BD89" s="35" t="e">
        <f t="shared" si="2"/>
        <v>#DIV/0!</v>
      </c>
      <c r="BE89" s="37">
        <v>666.67</v>
      </c>
      <c r="BF89" s="37">
        <v>74</v>
      </c>
      <c r="BG89" s="38"/>
      <c r="BH89" s="35"/>
      <c r="BI89" s="35"/>
      <c r="BJ89" s="35"/>
    </row>
    <row r="90" ht="84" spans="1:62">
      <c r="A90" s="28" t="s">
        <v>69</v>
      </c>
      <c r="B90" s="28">
        <v>86</v>
      </c>
      <c r="C90" s="29" t="s">
        <v>70</v>
      </c>
      <c r="D90" s="29" t="s">
        <v>163</v>
      </c>
      <c r="E90" s="29" t="s">
        <v>202</v>
      </c>
      <c r="F90" s="33"/>
      <c r="G90" s="30">
        <v>30</v>
      </c>
      <c r="H90" s="31" t="s">
        <v>73</v>
      </c>
      <c r="I90" s="32" t="s">
        <v>207</v>
      </c>
      <c r="J90" s="31">
        <v>2023</v>
      </c>
      <c r="K90" s="31">
        <v>2023</v>
      </c>
      <c r="L90" s="31" t="s">
        <v>75</v>
      </c>
      <c r="M90" s="33" t="s">
        <v>105</v>
      </c>
      <c r="N90" s="33">
        <v>12</v>
      </c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35"/>
      <c r="AS90" s="35"/>
      <c r="AT90" s="8">
        <v>86</v>
      </c>
      <c r="AU90" s="35"/>
      <c r="AV90" s="40"/>
      <c r="AW90" s="40"/>
      <c r="AX90" s="35"/>
      <c r="AY90" s="36"/>
      <c r="AZ90" s="36"/>
      <c r="BA90" s="36"/>
      <c r="BB90" s="36"/>
      <c r="BC90" s="36"/>
      <c r="BD90" s="35" t="e">
        <f t="shared" si="2"/>
        <v>#DIV/0!</v>
      </c>
      <c r="BE90" s="37">
        <v>666.67</v>
      </c>
      <c r="BF90" s="37">
        <v>74</v>
      </c>
      <c r="BG90" s="38"/>
      <c r="BH90" s="35"/>
      <c r="BI90" s="35"/>
      <c r="BJ90" s="35"/>
    </row>
    <row r="91" ht="84" spans="1:62">
      <c r="A91" s="28" t="s">
        <v>69</v>
      </c>
      <c r="B91" s="28">
        <v>87</v>
      </c>
      <c r="C91" s="29" t="s">
        <v>70</v>
      </c>
      <c r="D91" s="29" t="s">
        <v>163</v>
      </c>
      <c r="E91" s="29" t="s">
        <v>202</v>
      </c>
      <c r="F91" s="33"/>
      <c r="G91" s="30">
        <v>31</v>
      </c>
      <c r="H91" s="31" t="s">
        <v>73</v>
      </c>
      <c r="I91" s="32" t="s">
        <v>208</v>
      </c>
      <c r="J91" s="31">
        <v>2023</v>
      </c>
      <c r="K91" s="31">
        <v>2023</v>
      </c>
      <c r="L91" s="31" t="s">
        <v>75</v>
      </c>
      <c r="M91" s="33" t="s">
        <v>105</v>
      </c>
      <c r="N91" s="33">
        <v>13</v>
      </c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35"/>
      <c r="AS91" s="35"/>
      <c r="AT91" s="8">
        <v>87</v>
      </c>
      <c r="AU91" s="35"/>
      <c r="AV91" s="40"/>
      <c r="AW91" s="40"/>
      <c r="AX91" s="35"/>
      <c r="AY91" s="36"/>
      <c r="AZ91" s="36"/>
      <c r="BA91" s="36"/>
      <c r="BB91" s="36"/>
      <c r="BC91" s="36"/>
      <c r="BD91" s="35" t="e">
        <f t="shared" si="2"/>
        <v>#DIV/0!</v>
      </c>
      <c r="BE91" s="37">
        <v>666.67</v>
      </c>
      <c r="BF91" s="37">
        <v>74</v>
      </c>
      <c r="BG91" s="38"/>
      <c r="BH91" s="35"/>
      <c r="BI91" s="35"/>
      <c r="BJ91" s="35"/>
    </row>
    <row r="92" ht="84" spans="1:62">
      <c r="A92" s="28" t="s">
        <v>69</v>
      </c>
      <c r="B92" s="28">
        <v>88</v>
      </c>
      <c r="C92" s="29" t="s">
        <v>70</v>
      </c>
      <c r="D92" s="29" t="s">
        <v>163</v>
      </c>
      <c r="E92" s="29" t="s">
        <v>202</v>
      </c>
      <c r="F92" s="33"/>
      <c r="G92" s="30">
        <v>32</v>
      </c>
      <c r="H92" s="31" t="s">
        <v>73</v>
      </c>
      <c r="I92" s="32" t="s">
        <v>209</v>
      </c>
      <c r="J92" s="31">
        <v>2023</v>
      </c>
      <c r="K92" s="31">
        <v>2023</v>
      </c>
      <c r="L92" s="31" t="s">
        <v>75</v>
      </c>
      <c r="M92" s="33" t="s">
        <v>76</v>
      </c>
      <c r="N92" s="33">
        <v>170</v>
      </c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35"/>
      <c r="AS92" s="35"/>
      <c r="AT92" s="8">
        <v>88</v>
      </c>
      <c r="AU92" s="35"/>
      <c r="AV92" s="40"/>
      <c r="AW92" s="40"/>
      <c r="AX92" s="35"/>
      <c r="AY92" s="36"/>
      <c r="AZ92" s="36"/>
      <c r="BA92" s="36"/>
      <c r="BB92" s="36"/>
      <c r="BC92" s="36"/>
      <c r="BD92" s="35" t="e">
        <f t="shared" si="2"/>
        <v>#DIV/0!</v>
      </c>
      <c r="BE92" s="37">
        <v>666.67</v>
      </c>
      <c r="BF92" s="37">
        <v>111</v>
      </c>
      <c r="BG92" s="38"/>
      <c r="BH92" s="35"/>
      <c r="BI92" s="35"/>
      <c r="BJ92" s="35"/>
    </row>
    <row r="93" ht="84" spans="1:62">
      <c r="A93" s="28" t="s">
        <v>69</v>
      </c>
      <c r="B93" s="28">
        <v>89</v>
      </c>
      <c r="C93" s="29" t="s">
        <v>70</v>
      </c>
      <c r="D93" s="29" t="s">
        <v>163</v>
      </c>
      <c r="E93" s="29" t="s">
        <v>202</v>
      </c>
      <c r="F93" s="33"/>
      <c r="G93" s="30">
        <v>33</v>
      </c>
      <c r="H93" s="31" t="s">
        <v>73</v>
      </c>
      <c r="I93" s="32" t="s">
        <v>210</v>
      </c>
      <c r="J93" s="31">
        <v>2023</v>
      </c>
      <c r="K93" s="31">
        <v>2023</v>
      </c>
      <c r="L93" s="31" t="s">
        <v>75</v>
      </c>
      <c r="M93" s="33" t="s">
        <v>76</v>
      </c>
      <c r="N93" s="33">
        <v>12</v>
      </c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35"/>
      <c r="AS93" s="35"/>
      <c r="AT93" s="8">
        <v>89</v>
      </c>
      <c r="AU93" s="35"/>
      <c r="AV93" s="40"/>
      <c r="AW93" s="40"/>
      <c r="AX93" s="35"/>
      <c r="AY93" s="36"/>
      <c r="AZ93" s="36"/>
      <c r="BA93" s="36"/>
      <c r="BB93" s="36"/>
      <c r="BC93" s="36"/>
      <c r="BD93" s="35" t="e">
        <f t="shared" si="2"/>
        <v>#DIV/0!</v>
      </c>
      <c r="BE93" s="37">
        <v>666.67</v>
      </c>
      <c r="BF93" s="37">
        <v>74</v>
      </c>
      <c r="BG93" s="38"/>
      <c r="BH93" s="35"/>
      <c r="BI93" s="35"/>
      <c r="BJ93" s="35"/>
    </row>
    <row r="94" ht="84" spans="1:62">
      <c r="A94" s="28" t="s">
        <v>69</v>
      </c>
      <c r="B94" s="28">
        <v>90</v>
      </c>
      <c r="C94" s="29" t="s">
        <v>70</v>
      </c>
      <c r="D94" s="29" t="s">
        <v>163</v>
      </c>
      <c r="E94" s="29" t="s">
        <v>202</v>
      </c>
      <c r="F94" s="33"/>
      <c r="G94" s="30">
        <v>34</v>
      </c>
      <c r="H94" s="31" t="s">
        <v>73</v>
      </c>
      <c r="I94" s="32" t="s">
        <v>211</v>
      </c>
      <c r="J94" s="31">
        <v>2023</v>
      </c>
      <c r="K94" s="31">
        <v>2023</v>
      </c>
      <c r="L94" s="31" t="s">
        <v>75</v>
      </c>
      <c r="M94" s="33" t="s">
        <v>105</v>
      </c>
      <c r="N94" s="33">
        <v>18</v>
      </c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35"/>
      <c r="AS94" s="35"/>
      <c r="AT94" s="8">
        <v>90</v>
      </c>
      <c r="AU94" s="35"/>
      <c r="AV94" s="40"/>
      <c r="AW94" s="40"/>
      <c r="AX94" s="35"/>
      <c r="AY94" s="36"/>
      <c r="AZ94" s="36"/>
      <c r="BA94" s="36"/>
      <c r="BB94" s="36"/>
      <c r="BC94" s="36"/>
      <c r="BD94" s="35" t="e">
        <f t="shared" si="2"/>
        <v>#DIV/0!</v>
      </c>
      <c r="BE94" s="37">
        <v>666.67</v>
      </c>
      <c r="BF94" s="37">
        <v>74</v>
      </c>
      <c r="BG94" s="38"/>
      <c r="BH94" s="35"/>
      <c r="BI94" s="35"/>
      <c r="BJ94" s="35"/>
    </row>
    <row r="95" ht="84" spans="1:62">
      <c r="A95" s="28" t="s">
        <v>69</v>
      </c>
      <c r="B95" s="28">
        <v>91</v>
      </c>
      <c r="C95" s="29" t="s">
        <v>70</v>
      </c>
      <c r="D95" s="29" t="s">
        <v>163</v>
      </c>
      <c r="E95" s="29" t="s">
        <v>212</v>
      </c>
      <c r="F95" s="33"/>
      <c r="G95" s="30">
        <v>3</v>
      </c>
      <c r="H95" s="31" t="s">
        <v>73</v>
      </c>
      <c r="I95" s="32" t="s">
        <v>213</v>
      </c>
      <c r="J95" s="31">
        <v>2023</v>
      </c>
      <c r="K95" s="31">
        <v>2023</v>
      </c>
      <c r="L95" s="31" t="s">
        <v>75</v>
      </c>
      <c r="M95" s="33" t="s">
        <v>80</v>
      </c>
      <c r="N95" s="33">
        <v>10</v>
      </c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35"/>
      <c r="AS95" s="35"/>
      <c r="AT95" s="8">
        <v>91</v>
      </c>
      <c r="AU95" s="35"/>
      <c r="AV95" s="40"/>
      <c r="AW95" s="40"/>
      <c r="AX95" s="35"/>
      <c r="AY95" s="36"/>
      <c r="AZ95" s="36"/>
      <c r="BA95" s="36"/>
      <c r="BB95" s="36"/>
      <c r="BC95" s="36"/>
      <c r="BD95" s="35" t="e">
        <f t="shared" si="2"/>
        <v>#DIV/0!</v>
      </c>
      <c r="BE95" s="37">
        <v>666.67</v>
      </c>
      <c r="BF95" s="37">
        <v>60</v>
      </c>
      <c r="BG95" s="38"/>
      <c r="BH95" s="35"/>
      <c r="BI95" s="35"/>
      <c r="BJ95" s="35"/>
    </row>
    <row r="96" ht="84" spans="1:62">
      <c r="A96" s="28" t="s">
        <v>69</v>
      </c>
      <c r="B96" s="28">
        <v>92</v>
      </c>
      <c r="C96" s="29" t="s">
        <v>70</v>
      </c>
      <c r="D96" s="29" t="s">
        <v>214</v>
      </c>
      <c r="E96" s="29" t="s">
        <v>215</v>
      </c>
      <c r="F96" s="33"/>
      <c r="G96" s="43" t="s">
        <v>216</v>
      </c>
      <c r="H96" s="31" t="s">
        <v>73</v>
      </c>
      <c r="I96" s="32" t="s">
        <v>217</v>
      </c>
      <c r="J96" s="31">
        <v>2023</v>
      </c>
      <c r="K96" s="31">
        <v>2023</v>
      </c>
      <c r="L96" s="31" t="s">
        <v>75</v>
      </c>
      <c r="M96" s="33" t="s">
        <v>80</v>
      </c>
      <c r="N96" s="33">
        <v>21</v>
      </c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35"/>
      <c r="AS96" s="35"/>
      <c r="AT96" s="8">
        <v>92</v>
      </c>
      <c r="AU96" s="35"/>
      <c r="AV96" s="40"/>
      <c r="AW96" s="40"/>
      <c r="AX96" s="35"/>
      <c r="AY96" s="36"/>
      <c r="AZ96" s="36"/>
      <c r="BA96" s="36"/>
      <c r="BB96" s="36"/>
      <c r="BC96" s="36"/>
      <c r="BD96" s="35" t="e">
        <f t="shared" si="2"/>
        <v>#DIV/0!</v>
      </c>
      <c r="BE96" s="37">
        <v>666.67</v>
      </c>
      <c r="BF96" s="37">
        <v>74</v>
      </c>
      <c r="BG96" s="38"/>
      <c r="BH96" s="35"/>
      <c r="BI96" s="35"/>
      <c r="BJ96" s="35"/>
    </row>
    <row r="97" ht="84" spans="1:62">
      <c r="A97" s="28" t="s">
        <v>69</v>
      </c>
      <c r="B97" s="28">
        <v>93</v>
      </c>
      <c r="C97" s="29" t="s">
        <v>70</v>
      </c>
      <c r="D97" s="29" t="s">
        <v>214</v>
      </c>
      <c r="E97" s="29" t="s">
        <v>215</v>
      </c>
      <c r="F97" s="33"/>
      <c r="G97" s="30">
        <v>2</v>
      </c>
      <c r="H97" s="31" t="s">
        <v>73</v>
      </c>
      <c r="I97" s="32" t="s">
        <v>218</v>
      </c>
      <c r="J97" s="31">
        <v>2023</v>
      </c>
      <c r="K97" s="31">
        <v>2023</v>
      </c>
      <c r="L97" s="31" t="s">
        <v>75</v>
      </c>
      <c r="M97" s="33" t="s">
        <v>80</v>
      </c>
      <c r="N97" s="33">
        <v>45</v>
      </c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35"/>
      <c r="AS97" s="35"/>
      <c r="AT97" s="8">
        <v>93</v>
      </c>
      <c r="AU97" s="35"/>
      <c r="AV97" s="40"/>
      <c r="AW97" s="40"/>
      <c r="AX97" s="35"/>
      <c r="AY97" s="36"/>
      <c r="AZ97" s="36"/>
      <c r="BA97" s="36"/>
      <c r="BB97" s="36"/>
      <c r="BC97" s="36"/>
      <c r="BD97" s="35" t="e">
        <f t="shared" si="2"/>
        <v>#DIV/0!</v>
      </c>
      <c r="BE97" s="37">
        <v>666.67</v>
      </c>
      <c r="BF97" s="37">
        <v>74</v>
      </c>
      <c r="BG97" s="38"/>
      <c r="BH97" s="35"/>
      <c r="BI97" s="35"/>
      <c r="BJ97" s="35"/>
    </row>
    <row r="98" ht="84" spans="1:62">
      <c r="A98" s="28" t="s">
        <v>69</v>
      </c>
      <c r="B98" s="28">
        <v>94</v>
      </c>
      <c r="C98" s="29" t="s">
        <v>70</v>
      </c>
      <c r="D98" s="29" t="s">
        <v>214</v>
      </c>
      <c r="E98" s="29" t="s">
        <v>215</v>
      </c>
      <c r="F98" s="33"/>
      <c r="G98" s="30">
        <v>3</v>
      </c>
      <c r="H98" s="31" t="s">
        <v>73</v>
      </c>
      <c r="I98" s="32" t="s">
        <v>219</v>
      </c>
      <c r="J98" s="31">
        <v>2023</v>
      </c>
      <c r="K98" s="31">
        <v>2023</v>
      </c>
      <c r="L98" s="31" t="s">
        <v>75</v>
      </c>
      <c r="M98" s="33" t="s">
        <v>76</v>
      </c>
      <c r="N98" s="33">
        <v>16</v>
      </c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35"/>
      <c r="AS98" s="35"/>
      <c r="AT98" s="8">
        <v>94</v>
      </c>
      <c r="AU98" s="35"/>
      <c r="AV98" s="40"/>
      <c r="AW98" s="40"/>
      <c r="AX98" s="35"/>
      <c r="AY98" s="36"/>
      <c r="AZ98" s="36"/>
      <c r="BA98" s="36"/>
      <c r="BB98" s="36"/>
      <c r="BC98" s="36"/>
      <c r="BD98" s="35" t="e">
        <f t="shared" si="2"/>
        <v>#DIV/0!</v>
      </c>
      <c r="BE98" s="37">
        <v>666.67</v>
      </c>
      <c r="BF98" s="37">
        <v>111</v>
      </c>
      <c r="BG98" s="38"/>
      <c r="BH98" s="35"/>
      <c r="BI98" s="35"/>
      <c r="BJ98" s="35"/>
    </row>
  </sheetData>
  <mergeCells count="46">
    <mergeCell ref="A1:AP1"/>
    <mergeCell ref="A2:AK2"/>
    <mergeCell ref="AM2:AP2"/>
    <mergeCell ref="O3:Q3"/>
    <mergeCell ref="R3:V3"/>
    <mergeCell ref="Z3:AE3"/>
    <mergeCell ref="AF3:AG3"/>
    <mergeCell ref="AH3:AI3"/>
    <mergeCell ref="AJ3:AK3"/>
    <mergeCell ref="AL3:AM3"/>
    <mergeCell ref="AY3:BC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W3:W4"/>
    <mergeCell ref="X3:X4"/>
    <mergeCell ref="Y3:Y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BD3:BD4"/>
    <mergeCell ref="BE3:BE4"/>
    <mergeCell ref="BF3:BF4"/>
    <mergeCell ref="BG3:BG4"/>
    <mergeCell ref="BH3:BH4"/>
    <mergeCell ref="BI3:BI4"/>
    <mergeCell ref="BJ3:BJ4"/>
  </mergeCells>
  <printOptions horizontalCentered="1"/>
  <pageMargins left="0.554861111111111" right="0.554861111111111" top="0.409027777777778" bottom="0.409027777777778" header="0.511805555555556" footer="0.511805555555556"/>
  <pageSetup paperSize="8" orientation="landscape" horizontalDpi="6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云南省林业厅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表1－人工造林小班验收因子表（完整）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xhz</dc:creator>
  <cp:lastModifiedBy>陶小淘</cp:lastModifiedBy>
  <dcterms:created xsi:type="dcterms:W3CDTF">2023-03-03T16:54:00Z</dcterms:created>
  <dcterms:modified xsi:type="dcterms:W3CDTF">2026-08-17T06:32:49Z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ICV">
    <vt:lpwstr>30D1D8E5CF4AFD95FBDE7E6A29DC01B5_43</vt:lpwstr>
  </property>
  <property fmtid="{D5CDD505-2E9C-101B-9397-08002B2CF9AE}" pid="4" name="CalculationRule">
    <vt:i4>0</vt:i4>
  </property>
</Properties>
</file>