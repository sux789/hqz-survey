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520" windowHeight="14260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lenovo</author>
  </authors>
  <commentList>
    <comment ref="F3" author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自动生成
</t>
        </r>
      </text>
    </comment>
    <comment ref="H3" authorId="0">
      <text>
        <r>
          <rPr>
            <b/>
            <sz val="9"/>
            <rFont val="宋体"/>
            <charset val="134"/>
          </rPr>
          <t>lenovo:自动生成</t>
        </r>
      </text>
    </comment>
  </commentList>
</comments>
</file>

<file path=xl/sharedStrings.xml><?xml version="1.0" encoding="utf-8"?>
<sst xmlns="http://schemas.openxmlformats.org/spreadsheetml/2006/main" count="34" uniqueCount="24">
  <si>
    <r>
      <rPr>
        <sz val="11"/>
        <color theme="1"/>
        <rFont val="宋体"/>
        <charset val="134"/>
        <scheme val="minor"/>
      </rPr>
      <t>样地调查表（</t>
    </r>
    <r>
      <rPr>
        <sz val="11"/>
        <color theme="5"/>
        <rFont val="宋体"/>
        <charset val="134"/>
        <scheme val="minor"/>
      </rPr>
      <t>项目名称+类型</t>
    </r>
    <r>
      <rPr>
        <sz val="11"/>
        <color theme="1"/>
        <rFont val="宋体"/>
        <charset val="134"/>
        <scheme val="minor"/>
      </rPr>
      <t>）</t>
    </r>
  </si>
  <si>
    <r>
      <rPr>
        <u/>
        <sz val="11"/>
        <color theme="1"/>
        <rFont val="宋体"/>
        <charset val="134"/>
        <scheme val="minor"/>
      </rPr>
      <t xml:space="preserve">         </t>
    </r>
    <r>
      <rPr>
        <sz val="11"/>
        <color theme="1"/>
        <rFont val="宋体"/>
        <charset val="134"/>
        <scheme val="minor"/>
      </rPr>
      <t>年度       县区      乡镇        村（委会）     林班     小班         面积（亩）</t>
    </r>
  </si>
  <si>
    <t>坐标</t>
  </si>
  <si>
    <t>照片</t>
  </si>
  <si>
    <t>样地号</t>
  </si>
  <si>
    <t>样地面积（平方米）</t>
  </si>
  <si>
    <t>种植株数</t>
  </si>
  <si>
    <t>成活株数</t>
  </si>
  <si>
    <t>死亡株数</t>
  </si>
  <si>
    <t>x</t>
  </si>
  <si>
    <t>y</t>
  </si>
  <si>
    <t>手写</t>
  </si>
  <si>
    <t>总样地个数</t>
  </si>
  <si>
    <t>总样地面积</t>
  </si>
  <si>
    <t>公式</t>
  </si>
  <si>
    <t>样地总株数</t>
  </si>
  <si>
    <t>样地成活株数</t>
  </si>
  <si>
    <t>样地成活率</t>
  </si>
  <si>
    <t>单个网格面积</t>
  </si>
  <si>
    <t>种植网格数量</t>
  </si>
  <si>
    <t>调查总株数</t>
  </si>
  <si>
    <t>撑杆情况</t>
  </si>
  <si>
    <t>覆膜情况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</si>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</sst>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u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5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6" applyNumberFormat="0" applyFill="0" applyAlignment="0" applyProtection="0">
      <alignment vertical="center"/>
    </xf>
    <xf numFmtId="0" fontId="9" fillId="0" borderId="16" applyNumberFormat="0" applyFill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8" applyNumberFormat="0" applyAlignment="0" applyProtection="0">
      <alignment vertical="center"/>
    </xf>
    <xf numFmtId="0" fontId="12" fillId="6" borderId="19" applyNumberFormat="0" applyAlignment="0" applyProtection="0">
      <alignment vertical="center"/>
    </xf>
    <xf numFmtId="0" fontId="13" fillId="6" borderId="18" applyNumberFormat="0" applyAlignment="0" applyProtection="0">
      <alignment vertical="center"/>
    </xf>
    <xf numFmtId="0" fontId="14" fillId="7" borderId="20" applyNumberFormat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>
      <alignment vertical="center"/>
    </xf>
    <xf numFmtId="0" fontId="0" fillId="0" borderId="1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49" fontId="0" fillId="0" borderId="3" xfId="0" applyNumberFormat="1" applyBorder="1">
      <alignment vertical="center"/>
    </xf>
    <xf numFmtId="0" fontId="0" fillId="0" borderId="3" xfId="0" applyBorder="1">
      <alignment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49" fontId="0" fillId="0" borderId="4" xfId="0" applyNumberFormat="1" applyBorder="1">
      <alignment vertical="center"/>
    </xf>
    <xf numFmtId="0" fontId="0" fillId="0" borderId="4" xfId="0" applyBorder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49" fontId="0" fillId="0" borderId="7" xfId="0" applyNumberForma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49" fontId="0" fillId="0" borderId="10" xfId="0" applyNumberForma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10" fontId="0" fillId="0" borderId="9" xfId="0" applyNumberFormat="1" applyBorder="1" applyAlignment="1">
      <alignment horizontal="center" vertical="center" wrapText="1"/>
    </xf>
    <xf numFmtId="10" fontId="0" fillId="0" borderId="10" xfId="0" applyNumberFormat="1" applyBorder="1" applyAlignment="1">
      <alignment horizontal="center" vertical="center" wrapText="1"/>
    </xf>
    <xf numFmtId="10" fontId="0" fillId="0" borderId="11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49" fontId="0" fillId="0" borderId="13" xfId="0" applyNumberForma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"/>
  <sheetViews>
    <sheetView tabSelected="1" zoomScale="85" zoomScaleNormal="85" topLeftCell="A2" workbookViewId="0">
      <selection activeCell="M6" sqref="M6"/>
    </sheetView>
  </sheetViews>
  <sheetFormatPr defaultColWidth="9.02884615384615" defaultRowHeight="16.8"/>
  <cols>
    <col min="1" max="1" width="13.4326923076923" style="1" customWidth="1"/>
    <col min="2" max="2" width="17.9903846153846" style="2" customWidth="1"/>
    <col min="3" max="5" width="9.25" style="1" customWidth="1"/>
    <col min="6" max="7" width="10.0769230769231" style="3" customWidth="1"/>
    <col min="8" max="9" width="5.38461538461539" customWidth="1"/>
  </cols>
  <sheetData>
    <row r="1" ht="17" spans="1:9">
      <c r="A1" s="4" t="s">
        <v>0</v>
      </c>
      <c r="B1" s="1"/>
      <c r="F1" s="5"/>
      <c r="G1" s="5"/>
      <c r="H1" s="1"/>
    </row>
    <row r="2" ht="17" spans="1:9">
      <c r="A2" s="6" t="s">
        <v>1</v>
      </c>
      <c r="B2" s="7"/>
      <c r="C2" s="8"/>
      <c r="D2" s="8"/>
      <c r="E2" s="8"/>
      <c r="F2" s="9" t="s">
        <v>2</v>
      </c>
      <c r="G2" s="9"/>
      <c r="H2" s="10" t="s">
        <v>3</v>
      </c>
    </row>
    <row r="3" ht="27" customHeight="1" spans="1:9">
      <c r="A3" s="11" t="s">
        <v>4</v>
      </c>
      <c r="B3" s="12" t="s">
        <v>5</v>
      </c>
      <c r="C3" s="11" t="s">
        <v>6</v>
      </c>
      <c r="D3" s="11" t="s">
        <v>7</v>
      </c>
      <c r="E3" s="11" t="s">
        <v>8</v>
      </c>
      <c r="F3" s="13" t="s">
        <v>9</v>
      </c>
      <c r="G3" s="13" t="s">
        <v>10</v>
      </c>
      <c r="H3" s="14"/>
    </row>
    <row r="4" ht="19.5" customHeight="1" spans="1:9">
      <c r="A4" s="11">
        <v>1</v>
      </c>
      <c r="B4" s="12">
        <v>150</v>
      </c>
      <c r="C4" s="11">
        <v>22</v>
      </c>
      <c r="D4" s="11">
        <v>21</v>
      </c>
      <c r="E4" s="11">
        <f>C4-D4</f>
        <v>1</v>
      </c>
      <c r="F4" s="13"/>
      <c r="G4" s="13"/>
      <c r="H4" s="14"/>
      <c r="I4" t="s">
        <v>11</v>
      </c>
    </row>
    <row r="5" ht="19.5" customHeight="1" spans="1:9">
      <c r="A5" s="11">
        <v>2</v>
      </c>
      <c r="B5" s="12">
        <v>150</v>
      </c>
      <c r="C5" s="11">
        <v>20</v>
      </c>
      <c r="D5" s="11">
        <v>20</v>
      </c>
      <c r="E5" s="11">
        <f>C5-D5</f>
        <v>0</v>
      </c>
      <c r="F5" s="13"/>
      <c r="G5" s="13"/>
      <c r="H5" s="14"/>
    </row>
    <row r="6" ht="19.5" customHeight="1" spans="1:9">
      <c r="A6" s="11">
        <v>3</v>
      </c>
      <c r="B6" s="12">
        <v>150</v>
      </c>
      <c r="C6" s="11">
        <v>18</v>
      </c>
      <c r="D6" s="11">
        <v>18</v>
      </c>
      <c r="E6" s="11">
        <f>C6-D6</f>
        <v>0</v>
      </c>
      <c r="F6" s="13"/>
      <c r="G6" s="13"/>
      <c r="H6" s="14"/>
    </row>
    <row r="7" ht="19.5" customHeight="1" spans="1:9">
      <c r="A7" s="11">
        <v>4</v>
      </c>
      <c r="B7" s="12">
        <v>150</v>
      </c>
      <c r="C7" s="11">
        <v>19</v>
      </c>
      <c r="D7" s="11">
        <v>17</v>
      </c>
      <c r="E7" s="11">
        <f>C7-D7</f>
        <v>2</v>
      </c>
      <c r="F7" s="13"/>
      <c r="G7" s="13"/>
      <c r="H7" s="14"/>
    </row>
    <row r="8" ht="19.5" customHeight="1" spans="1:9">
      <c r="A8" s="11">
        <v>5</v>
      </c>
      <c r="B8" s="12"/>
      <c r="C8" s="11"/>
      <c r="D8" s="11"/>
      <c r="E8" s="11"/>
      <c r="F8" s="13"/>
      <c r="G8" s="13"/>
      <c r="H8" s="14"/>
    </row>
    <row r="9" ht="19.5" customHeight="1" spans="1:9">
      <c r="A9" s="11">
        <v>6</v>
      </c>
      <c r="B9" s="12"/>
      <c r="C9" s="11"/>
      <c r="D9" s="11"/>
      <c r="E9" s="11"/>
      <c r="F9" s="13"/>
      <c r="G9" s="13"/>
      <c r="H9" s="14"/>
    </row>
    <row r="10" ht="19.5" customHeight="1" spans="1:9">
      <c r="A10" s="11">
        <v>7</v>
      </c>
      <c r="B10" s="12"/>
      <c r="C10" s="11"/>
      <c r="D10" s="11"/>
      <c r="E10" s="11"/>
      <c r="F10" s="13"/>
      <c r="G10" s="13"/>
      <c r="H10" s="14"/>
    </row>
    <row r="11" ht="19.5" customHeight="1" spans="1:9">
      <c r="A11" s="11">
        <v>8</v>
      </c>
      <c r="B11" s="12"/>
      <c r="C11" s="11"/>
      <c r="D11" s="11"/>
      <c r="E11" s="11"/>
      <c r="F11" s="13"/>
      <c r="G11" s="13"/>
      <c r="H11" s="14"/>
    </row>
    <row r="12" ht="19.5" customHeight="1" spans="1:9">
      <c r="A12" s="11">
        <v>9</v>
      </c>
      <c r="B12" s="12"/>
      <c r="C12" s="11"/>
      <c r="D12" s="11"/>
      <c r="E12" s="11"/>
      <c r="F12" s="13"/>
      <c r="G12" s="13"/>
      <c r="H12" s="14"/>
    </row>
    <row r="13" ht="19.5" customHeight="1" spans="1:9">
      <c r="A13" s="11">
        <v>10</v>
      </c>
      <c r="B13" s="12"/>
      <c r="C13" s="11"/>
      <c r="D13" s="11"/>
      <c r="E13" s="11"/>
      <c r="F13" s="13"/>
      <c r="G13" s="13"/>
      <c r="H13" s="14"/>
    </row>
    <row r="14" ht="19.5" customHeight="1" spans="1:9">
      <c r="A14" s="11">
        <v>11</v>
      </c>
      <c r="B14" s="12"/>
      <c r="C14" s="11"/>
      <c r="D14" s="11"/>
      <c r="E14" s="11"/>
      <c r="F14" s="13"/>
      <c r="G14" s="13"/>
      <c r="H14" s="14"/>
    </row>
    <row r="15" ht="19.5" customHeight="1" spans="1:9">
      <c r="A15" s="11">
        <v>12</v>
      </c>
      <c r="B15" s="12"/>
      <c r="C15" s="11"/>
      <c r="D15" s="11"/>
      <c r="E15" s="11"/>
      <c r="F15" s="13"/>
      <c r="G15" s="13"/>
      <c r="H15" s="14"/>
    </row>
    <row r="16" ht="19.5" customHeight="1" spans="1:9">
      <c r="A16" s="11">
        <v>13</v>
      </c>
      <c r="B16" s="12"/>
      <c r="C16" s="11"/>
      <c r="D16" s="11"/>
      <c r="E16" s="11"/>
      <c r="F16" s="13"/>
      <c r="G16" s="13"/>
      <c r="H16" s="14"/>
    </row>
    <row r="17" ht="19.5" customHeight="1" spans="1:9">
      <c r="A17" s="11">
        <v>14</v>
      </c>
      <c r="B17" s="12"/>
      <c r="C17" s="11"/>
      <c r="D17" s="11"/>
      <c r="E17" s="11"/>
      <c r="F17" s="13"/>
      <c r="G17" s="13"/>
      <c r="H17" s="14"/>
    </row>
    <row r="18" ht="19.5" customHeight="1" spans="1:9">
      <c r="A18" s="11">
        <v>15</v>
      </c>
      <c r="B18" s="12"/>
      <c r="C18" s="11"/>
      <c r="D18" s="11"/>
      <c r="E18" s="11"/>
      <c r="F18" s="13"/>
      <c r="G18" s="13"/>
      <c r="H18" s="14"/>
    </row>
    <row r="19" ht="19.5" customHeight="1" spans="1:9">
      <c r="A19" s="11">
        <v>16</v>
      </c>
      <c r="B19" s="12"/>
      <c r="C19" s="11"/>
      <c r="D19" s="11"/>
      <c r="E19" s="11"/>
      <c r="F19" s="13"/>
      <c r="G19" s="13"/>
      <c r="H19" s="14"/>
    </row>
    <row r="20" ht="19.5" customHeight="1" spans="1:9">
      <c r="A20" s="11">
        <v>17</v>
      </c>
      <c r="B20" s="12"/>
      <c r="C20" s="11"/>
      <c r="D20" s="11"/>
      <c r="E20" s="11"/>
      <c r="F20" s="13"/>
      <c r="G20" s="13"/>
      <c r="H20" s="14"/>
    </row>
    <row r="21" ht="19.5" customHeight="1" spans="1:9">
      <c r="A21" s="11">
        <v>18</v>
      </c>
      <c r="B21" s="12"/>
      <c r="C21" s="11"/>
      <c r="D21" s="11"/>
      <c r="E21" s="11"/>
      <c r="F21" s="13"/>
      <c r="G21" s="13"/>
      <c r="H21" s="14"/>
    </row>
    <row r="22" ht="19.5" customHeight="1" spans="1:9">
      <c r="A22" s="11">
        <v>19</v>
      </c>
      <c r="B22" s="12"/>
      <c r="C22" s="11"/>
      <c r="D22" s="11"/>
      <c r="E22" s="11"/>
      <c r="F22" s="13"/>
      <c r="G22" s="13"/>
      <c r="H22" s="14"/>
    </row>
    <row r="23" ht="19.5" customHeight="1" spans="1:9">
      <c r="A23" s="11">
        <v>20</v>
      </c>
      <c r="B23" s="12"/>
      <c r="C23" s="11"/>
      <c r="D23" s="11"/>
      <c r="E23" s="11"/>
      <c r="F23" s="13"/>
      <c r="G23" s="13"/>
      <c r="H23" s="14"/>
    </row>
    <row r="24" ht="19.5" customHeight="1" spans="1:9">
      <c r="A24" s="11">
        <v>21</v>
      </c>
      <c r="B24" s="12"/>
      <c r="C24" s="11"/>
      <c r="D24" s="11"/>
      <c r="E24" s="11"/>
      <c r="F24" s="13"/>
      <c r="G24" s="13"/>
      <c r="H24" s="14"/>
    </row>
    <row r="25" ht="19.5" customHeight="1" spans="1:9">
      <c r="A25" s="11">
        <v>22</v>
      </c>
      <c r="B25" s="12"/>
      <c r="C25" s="11"/>
      <c r="D25" s="11"/>
      <c r="E25" s="11"/>
      <c r="F25" s="13"/>
      <c r="G25" s="13"/>
      <c r="H25" s="14"/>
    </row>
    <row r="26" ht="19.5" customHeight="1" spans="1:9">
      <c r="A26" s="11">
        <v>23</v>
      </c>
      <c r="B26" s="15"/>
      <c r="C26" s="16"/>
      <c r="D26" s="16"/>
      <c r="E26" s="16"/>
      <c r="F26" s="17"/>
      <c r="G26" s="17"/>
      <c r="H26" s="18"/>
    </row>
    <row r="27" ht="19.5" customHeight="1" spans="1:9">
      <c r="A27" s="11" t="s">
        <v>12</v>
      </c>
      <c r="B27" s="19">
        <v>5</v>
      </c>
      <c r="C27" s="20"/>
      <c r="D27" s="20"/>
      <c r="E27" s="20"/>
      <c r="F27" s="21"/>
      <c r="G27" s="21"/>
      <c r="H27" s="22"/>
      <c r="I27" s="14" t="s">
        <v>11</v>
      </c>
    </row>
    <row r="28" ht="19.5" customHeight="1" spans="1:9">
      <c r="A28" s="11" t="s">
        <v>13</v>
      </c>
      <c r="B28" s="23">
        <f>SUM(B4:B26)</f>
        <v>600</v>
      </c>
      <c r="C28" s="24"/>
      <c r="D28" s="24"/>
      <c r="E28" s="24"/>
      <c r="F28" s="25"/>
      <c r="G28" s="25"/>
      <c r="H28" s="26"/>
      <c r="I28" t="s">
        <v>14</v>
      </c>
    </row>
    <row r="29" ht="19.5" customHeight="1" spans="1:9">
      <c r="A29" s="11" t="s">
        <v>15</v>
      </c>
      <c r="B29" s="27">
        <f>SUM(C4:C26)</f>
        <v>79</v>
      </c>
      <c r="C29" s="28"/>
      <c r="D29" s="28"/>
      <c r="E29" s="28"/>
      <c r="F29" s="29"/>
      <c r="G29" s="29"/>
      <c r="H29" s="30"/>
      <c r="I29" t="s">
        <v>14</v>
      </c>
    </row>
    <row r="30" ht="19.5" customHeight="1" spans="1:9">
      <c r="A30" s="11" t="s">
        <v>16</v>
      </c>
      <c r="B30" s="27">
        <f>SUM(D4:D26)</f>
        <v>76</v>
      </c>
      <c r="C30" s="28"/>
      <c r="D30" s="28"/>
      <c r="E30" s="28"/>
      <c r="F30" s="29"/>
      <c r="G30" s="29"/>
      <c r="H30" s="30"/>
      <c r="I30" t="s">
        <v>14</v>
      </c>
    </row>
    <row r="31" ht="19.5" customHeight="1" spans="1:9">
      <c r="A31" s="31" t="s">
        <v>17</v>
      </c>
      <c r="B31" s="32">
        <f>B30/B29</f>
        <v>0.962025316455696</v>
      </c>
      <c r="C31" s="33"/>
      <c r="D31" s="33"/>
      <c r="E31" s="33"/>
      <c r="F31" s="29"/>
      <c r="G31" s="29"/>
      <c r="H31" s="34"/>
      <c r="I31" t="s">
        <v>14</v>
      </c>
    </row>
    <row r="32" ht="19.5" customHeight="1" spans="1:9">
      <c r="A32" s="11" t="s">
        <v>18</v>
      </c>
      <c r="B32" s="27">
        <v>5000</v>
      </c>
      <c r="C32" s="28"/>
      <c r="D32" s="28"/>
      <c r="E32" s="28"/>
      <c r="F32" s="29"/>
      <c r="G32" s="29"/>
      <c r="H32" s="30"/>
      <c r="I32" t="s">
        <v>11</v>
      </c>
    </row>
    <row r="33" ht="19.5" customHeight="1" spans="1:9">
      <c r="A33" s="11" t="s">
        <v>19</v>
      </c>
      <c r="B33" s="27">
        <v>4</v>
      </c>
      <c r="C33" s="28"/>
      <c r="D33" s="28"/>
      <c r="E33" s="28"/>
      <c r="F33" s="29"/>
      <c r="G33" s="29"/>
      <c r="H33" s="30"/>
      <c r="I33" t="s">
        <v>11</v>
      </c>
    </row>
    <row r="34" ht="19.5" customHeight="1" spans="1:9">
      <c r="A34" s="31" t="s">
        <v>20</v>
      </c>
      <c r="B34" s="27">
        <f>ROUND(B29/B27/150*B32*B33,0)</f>
        <v>2107</v>
      </c>
      <c r="C34" s="28"/>
      <c r="D34" s="28"/>
      <c r="E34" s="28"/>
      <c r="F34" s="29"/>
      <c r="G34" s="29"/>
      <c r="H34" s="30"/>
      <c r="I34" t="s">
        <v>14</v>
      </c>
    </row>
    <row r="35" ht="19.5" customHeight="1" spans="1:9">
      <c r="A35" s="11" t="s">
        <v>21</v>
      </c>
      <c r="B35" s="27"/>
      <c r="C35" s="28"/>
      <c r="D35" s="28"/>
      <c r="E35" s="28"/>
      <c r="F35" s="29"/>
      <c r="G35" s="29"/>
      <c r="H35" s="30"/>
      <c r="I35" t="s">
        <v>11</v>
      </c>
    </row>
    <row r="36" ht="19.5" customHeight="1" spans="1:9">
      <c r="A36" s="11" t="s">
        <v>22</v>
      </c>
      <c r="B36" s="27"/>
      <c r="C36" s="28"/>
      <c r="D36" s="28"/>
      <c r="E36" s="28"/>
      <c r="F36" s="29"/>
      <c r="G36" s="29"/>
      <c r="H36" s="30"/>
      <c r="I36" t="s">
        <v>11</v>
      </c>
    </row>
    <row r="37" ht="19.5" customHeight="1" spans="1:9">
      <c r="A37" s="11" t="s">
        <v>23</v>
      </c>
      <c r="B37" s="35"/>
      <c r="C37" s="36"/>
      <c r="D37" s="36"/>
      <c r="E37" s="36"/>
      <c r="F37" s="37"/>
      <c r="G37" s="37"/>
      <c r="H37" s="38"/>
      <c r="I37" s="1" t="s">
        <v>11</v>
      </c>
    </row>
    <row r="38" ht="19.5" customHeight="1" spans="1:9">
      <c r="A38" s="11"/>
      <c r="B38" s="23"/>
      <c r="C38" s="24"/>
      <c r="D38" s="24"/>
      <c r="E38" s="24"/>
      <c r="F38" s="25"/>
      <c r="G38" s="25"/>
      <c r="H38" s="26"/>
      <c r="I38" s="1"/>
    </row>
  </sheetData>
  <mergeCells count="16">
    <mergeCell ref="A1:H1"/>
    <mergeCell ref="A2:E2"/>
    <mergeCell ref="F2:G2"/>
    <mergeCell ref="B27:H27"/>
    <mergeCell ref="B28:H28"/>
    <mergeCell ref="B29:H29"/>
    <mergeCell ref="B30:H30"/>
    <mergeCell ref="B31:H31"/>
    <mergeCell ref="B32:H32"/>
    <mergeCell ref="B33:H33"/>
    <mergeCell ref="B34:H34"/>
    <mergeCell ref="B35:H35"/>
    <mergeCell ref="B36:H36"/>
    <mergeCell ref="A37:A38"/>
    <mergeCell ref="I37:I38"/>
    <mergeCell ref="B37:H38"/>
  </mergeCells>
  <printOptions horizontalCentered="1"/>
  <pageMargins left="0.357638888888889" right="0.357638888888889" top="0.60625" bottom="0.60625" header="0.5" footer="0.5"/>
  <pageSetup paperSize="9" orientation="portrait" horizontalDpi="6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蔡吉飞</dc:creator>
  <cp:lastModifiedBy>陶小淘</cp:lastModifiedBy>
  <dcterms:created xsi:type="dcterms:W3CDTF">2025-09-02T16:59:00Z</dcterms:created>
  <dcterms:modified xsi:type="dcterms:W3CDTF">2026-08-20T12:27:39Z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D323EE3C8D7FEFA88D69866A2C62469B_43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