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520" windowHeight="14260" tabRatio="600" firstSheet="0" activeTab="2" autoFilterDateGrouping="1"/>
  </bookViews>
  <sheets>
    <sheet xmlns:r="http://schemas.openxmlformats.org/officeDocument/2006/relationships" name="2023年度退化林" sheetId="1" state="visible" r:id="rId1"/>
    <sheet xmlns:r="http://schemas.openxmlformats.org/officeDocument/2006/relationships" name="2023年度人工造林" sheetId="2" state="visible" r:id="rId2"/>
    <sheet xmlns:r="http://schemas.openxmlformats.org/officeDocument/2006/relationships" name="2023年度封山育林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宋体"/>
      <charset val="134"/>
      <sz val="12"/>
    </font>
    <font>
      <name val="宋体"/>
      <charset val="134"/>
      <sz val="10"/>
      <scheme val="minor"/>
    </font>
    <font>
      <name val="宋体"/>
      <charset val="134"/>
      <sz val="9"/>
      <scheme val="minor"/>
    </font>
    <font>
      <name val="宋体"/>
      <charset val="134"/>
      <b val="1"/>
      <sz val="14"/>
      <scheme val="minor"/>
    </font>
    <font>
      <name val="宋体"/>
      <charset val="134"/>
      <color rgb="FF000000"/>
      <sz val="9"/>
      <scheme val="minor"/>
    </font>
    <font>
      <name val="宋体"/>
      <charset val="134"/>
      <color rgb="FF000000"/>
      <sz val="8"/>
      <scheme val="minor"/>
    </font>
    <font>
      <name val="宋体"/>
      <charset val="134"/>
      <color theme="1"/>
      <sz val="8"/>
      <scheme val="minor"/>
    </font>
    <font>
      <name val="宋体"/>
      <charset val="134"/>
      <color theme="1"/>
      <sz val="9"/>
      <scheme val="minor"/>
    </font>
    <font>
      <name val="宋体"/>
      <charset val="134"/>
      <sz val="8"/>
      <scheme val="minor"/>
    </font>
    <font>
      <name val="宋体"/>
      <charset val="134"/>
      <color rgb="FF000000"/>
      <sz val="8"/>
    </font>
    <font>
      <name val="宋体"/>
      <charset val="134"/>
      <b val="1"/>
      <color theme="1"/>
      <sz val="14"/>
    </font>
    <font>
      <name val="Times New Roman"/>
      <charset val="1"/>
      <b val="1"/>
      <color theme="1"/>
      <sz val="14"/>
    </font>
    <font>
      <name val="Times New Roman"/>
      <charset val="1"/>
      <color theme="1"/>
      <sz val="11"/>
    </font>
    <font>
      <name val="宋体"/>
      <charset val="134"/>
      <color theme="1"/>
      <sz val="9"/>
    </font>
    <font>
      <name val="Times New Roman"/>
      <charset val="1"/>
      <color theme="1"/>
      <sz val="9"/>
    </font>
    <font>
      <name val="宋体"/>
      <charset val="134"/>
      <color rgb="FF000000"/>
      <sz val="9"/>
    </font>
    <font>
      <name val="Times New Roman"/>
      <charset val="1"/>
      <color rgb="FF000000"/>
      <sz val="9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indexed="8"/>
      <sz val="9"/>
      <vertAlign val="superscript"/>
    </font>
    <font>
      <name val="宋体"/>
      <charset val="134"/>
      <sz val="9"/>
    </font>
    <font>
      <name val="宋体"/>
      <charset val="134"/>
      <b val="1"/>
      <sz val="9"/>
    </font>
  </fonts>
  <fills count="33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3" borderId="8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9" applyAlignment="1">
      <alignment vertical="center"/>
    </xf>
    <xf numFmtId="0" fontId="24" fillId="0" borderId="9" applyAlignment="1">
      <alignment vertical="center"/>
    </xf>
    <xf numFmtId="0" fontId="25" fillId="0" borderId="10" applyAlignment="1">
      <alignment vertical="center"/>
    </xf>
    <xf numFmtId="0" fontId="25" fillId="0" borderId="0" applyAlignment="1">
      <alignment vertical="center"/>
    </xf>
    <xf numFmtId="0" fontId="26" fillId="4" borderId="11" applyAlignment="1">
      <alignment vertical="center"/>
    </xf>
    <xf numFmtId="0" fontId="27" fillId="5" borderId="12" applyAlignment="1">
      <alignment vertical="center"/>
    </xf>
    <xf numFmtId="0" fontId="28" fillId="5" borderId="11" applyAlignment="1">
      <alignment vertical="center"/>
    </xf>
    <xf numFmtId="0" fontId="29" fillId="6" borderId="13" applyAlignment="1">
      <alignment vertical="center"/>
    </xf>
    <xf numFmtId="0" fontId="30" fillId="0" borderId="14" applyAlignment="1">
      <alignment vertical="center"/>
    </xf>
    <xf numFmtId="0" fontId="31" fillId="0" borderId="15" applyAlignment="1">
      <alignment vertical="center"/>
    </xf>
    <xf numFmtId="0" fontId="32" fillId="7" borderId="0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6" fillId="12" borderId="0" applyAlignment="1">
      <alignment vertical="center"/>
    </xf>
    <xf numFmtId="0" fontId="35" fillId="13" borderId="0" applyAlignment="1">
      <alignment vertical="center"/>
    </xf>
    <xf numFmtId="0" fontId="35" fillId="14" borderId="0" applyAlignment="1">
      <alignment vertical="center"/>
    </xf>
    <xf numFmtId="0" fontId="36" fillId="15" borderId="0" applyAlignment="1">
      <alignment vertical="center"/>
    </xf>
    <xf numFmtId="0" fontId="36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6" fillId="19" borderId="0" applyAlignment="1">
      <alignment vertical="center"/>
    </xf>
    <xf numFmtId="0" fontId="36" fillId="20" borderId="0" applyAlignment="1">
      <alignment vertical="center"/>
    </xf>
    <xf numFmtId="0" fontId="35" fillId="21" borderId="0" applyAlignment="1">
      <alignment vertical="center"/>
    </xf>
    <xf numFmtId="0" fontId="35" fillId="2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5" fillId="32" borderId="0" applyAlignment="1">
      <alignment vertical="center"/>
    </xf>
  </cellStyleXfs>
  <cellXfs count="9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vertical="center"/>
    </xf>
    <xf numFmtId="0" fontId="14" fillId="2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1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2" borderId="6" applyAlignment="1" pivotButton="0" quotePrefix="0" xfId="0">
      <alignment horizontal="center" vertical="center" wrapText="1"/>
    </xf>
    <xf numFmtId="0" fontId="15" fillId="2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10" fontId="14" fillId="0" borderId="1" applyAlignment="1" pivotButton="0" quotePrefix="0" xfId="0">
      <alignment horizontal="center" vertical="center" wrapText="1"/>
    </xf>
    <xf numFmtId="10" fontId="8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lenovo</author>
  </authors>
  <commentList>
    <comment ref="AR3" authorId="0" shapeId="0">
      <text>
        <t xml:space="preserve">lenovo:
新增
</t>
      </text>
    </comment>
    <comment ref="AU3" authorId="0" shapeId="0">
      <text>
        <t xml:space="preserve">lenovo新增固定数值
</t>
      </text>
    </comment>
    <comment ref="AR4" authorId="0" shapeId="0">
      <text>
        <t xml:space="preserve">lenovo:
等于样地调查表的   
调查总株数
</t>
      </text>
    </comment>
    <comment ref="AS4" authorId="0" shapeId="0">
      <text>
        <t xml:space="preserve">lenovo:
等于小班查数株树乘以合格率
</t>
      </text>
    </comment>
    <comment ref="AT4" authorId="0" shapeId="0">
      <text>
        <t xml:space="preserve">lenovo:
等于样地调查成活率
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AN3" authorId="0" shapeId="0">
      <text>
        <t xml:space="preserve">lenovo:
新增
</t>
      </text>
    </comment>
    <comment ref="AQ3" authorId="0" shapeId="0">
      <text>
        <t xml:space="preserve">lenovo新增固定数值
</t>
      </text>
    </comment>
    <comment ref="O4" authorId="0" shapeId="0">
      <text>
        <t>lenovo:
根据合格率区间值等于合格率数据，90%以上为合格，41%-90%是待补植，40及40%一下为失败，看AP5数据</t>
      </text>
    </comment>
    <comment ref="P4" authorId="0" shapeId="0">
      <text>
        <t xml:space="preserve">lenovo:
根据合格率区间值等于合格率数据，90%以上为合格，41%-90%是待补植，40及40%一下为失败，看AP5数据
</t>
      </text>
    </comment>
    <comment ref="Q4" authorId="0" shapeId="0">
      <text>
        <t xml:space="preserve">lenovo:
根据合格率区间值等于合格率数据，90%以上为合格，41%-90%是待补植，40及40%一下为失败，看AP5数据
</t>
      </text>
    </comment>
    <comment ref="S4" authorId="0" shapeId="0">
      <text>
        <t xml:space="preserve">lenovo:
在成活率大于等于90%以上自动等于N列
</t>
      </text>
    </comment>
    <comment ref="AE4" authorId="0" shapeId="0">
      <text>
        <t>lenovo:默认为有</t>
      </text>
    </comment>
    <comment ref="AF4" authorId="0" shapeId="0">
      <text>
        <t xml:space="preserve">lenovo:
在成活率大于等于90%以上自动等于N列
</t>
      </text>
    </comment>
    <comment ref="AH4" authorId="0" shapeId="0">
      <text>
        <t xml:space="preserve">lenovo:
在成活率大于等于90%以上自动等于N列
</t>
      </text>
    </comment>
    <comment ref="AL4" authorId="0" shapeId="0">
      <text>
        <t xml:space="preserve">lenovo:
在成活率大于等于90%以上自动等于N列
</t>
      </text>
    </comment>
    <comment ref="AN4" authorId="0" shapeId="0">
      <text>
        <t xml:space="preserve">lenovo:
等于样地调查表的   
调查总株数
</t>
      </text>
    </comment>
    <comment ref="AO4" authorId="0" shapeId="0">
      <text>
        <t xml:space="preserve">lenovo:
等于小班查数株树乘以合格率
</t>
      </text>
    </comment>
    <comment ref="AP4" authorId="0" shapeId="0">
      <text>
        <t xml:space="preserve">lenovo:
等于样地调查成活率
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BE3" authorId="0" shapeId="0">
      <text>
        <t xml:space="preserve">lenovo:
新增
</t>
      </text>
    </comment>
    <comment ref="BH3" authorId="0" shapeId="0">
      <text>
        <t xml:space="preserve">lenovo新增固定数值
</t>
      </text>
    </comment>
    <comment ref="BE4" authorId="0" shapeId="0">
      <text>
        <t xml:space="preserve">lenovo:
等于样地调查表的   
调查总株数
</t>
      </text>
    </comment>
    <comment ref="BF4" authorId="0" shapeId="0">
      <text>
        <t xml:space="preserve">lenovo:
等于小班查数株树乘以合格率
</t>
      </text>
    </comment>
    <comment ref="BG4" authorId="0" shapeId="0">
      <text>
        <t xml:space="preserve">lenovo:
等于样地调查成活率
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topLeftCell="N1" zoomScale="70" zoomScaleNormal="70" workbookViewId="0">
      <selection activeCell="AJ5" sqref="AJ5"/>
    </sheetView>
  </sheetViews>
  <sheetFormatPr baseColWidth="8" defaultColWidth="9" defaultRowHeight="17.6" outlineLevelRow="4"/>
  <cols>
    <col width="9" customWidth="1" style="33" min="1" max="15"/>
    <col width="9" customWidth="1" style="33" min="27" max="29"/>
    <col width="9" customWidth="1" style="33" min="47" max="47"/>
  </cols>
  <sheetData>
    <row r="1" ht="20.4" customFormat="1" customHeight="1" s="59">
      <c r="A1" s="60" t="inlineStr">
        <is>
          <t>退化林修复小班质量因子表</t>
        </is>
      </c>
      <c r="AR1" s="61" t="n"/>
      <c r="AS1" s="61" t="n"/>
      <c r="AT1" s="61" t="n"/>
      <c r="AU1" s="61" t="n"/>
      <c r="AV1" s="63" t="n"/>
      <c r="AW1" s="63" t="n"/>
      <c r="AX1" s="63" t="n"/>
      <c r="AY1" s="63" t="n"/>
      <c r="AZ1" s="63" t="n"/>
      <c r="BA1" s="63" t="n"/>
      <c r="BB1" s="63" t="n"/>
      <c r="BC1" s="63" t="n"/>
    </row>
    <row r="2">
      <c r="A2" s="64" t="inlineStr">
        <is>
          <t>表3</t>
        </is>
      </c>
      <c r="D2" s="65" t="n"/>
      <c r="E2" s="65" t="n"/>
      <c r="F2" s="65" t="n"/>
      <c r="G2" s="65" t="n"/>
      <c r="H2" s="65" t="n"/>
      <c r="I2" s="66" t="n"/>
      <c r="J2" s="65" t="n"/>
      <c r="K2" s="65" t="n"/>
      <c r="L2" s="65" t="n"/>
      <c r="M2" s="65" t="n"/>
      <c r="N2" s="65" t="n"/>
      <c r="O2" s="65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  <c r="Z2" s="68" t="n"/>
      <c r="AA2" s="65" t="n"/>
      <c r="AB2" s="65" t="n"/>
      <c r="AC2" s="65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  <c r="AM2" s="69" t="n"/>
      <c r="AN2" s="69" t="n"/>
      <c r="AO2" s="69" t="n"/>
      <c r="AP2" s="69" t="inlineStr">
        <is>
          <t>单位：亩、株/亩、%、m、m2</t>
        </is>
      </c>
      <c r="AQ2" s="69" t="n"/>
      <c r="AR2" s="67" t="n"/>
      <c r="AS2" s="67" t="n"/>
      <c r="AT2" s="67" t="n"/>
      <c r="AU2" s="65" t="n"/>
      <c r="AV2" s="67" t="n"/>
      <c r="AW2" s="67" t="n"/>
      <c r="AX2" s="67" t="n"/>
      <c r="AY2" s="67" t="n"/>
      <c r="AZ2" s="67" t="n"/>
      <c r="BA2" s="67" t="n"/>
      <c r="BB2" s="67" t="n"/>
      <c r="BC2" s="67" t="n"/>
    </row>
    <row r="3">
      <c r="A3" s="70" t="inlineStr">
        <is>
          <t>市</t>
        </is>
      </c>
      <c r="B3" s="71" t="inlineStr">
        <is>
          <t>调查小班号</t>
        </is>
      </c>
      <c r="C3" s="70" t="inlineStr">
        <is>
          <t>县</t>
        </is>
      </c>
      <c r="D3" s="72" t="inlineStr">
        <is>
          <t>乡</t>
        </is>
      </c>
      <c r="E3" s="72" t="inlineStr">
        <is>
          <t>村</t>
        </is>
      </c>
      <c r="F3" s="72" t="inlineStr">
        <is>
          <t>林班</t>
        </is>
      </c>
      <c r="G3" s="72" t="inlineStr">
        <is>
          <t>小班</t>
        </is>
      </c>
      <c r="H3" s="72" t="inlineStr">
        <is>
          <t>验收类别</t>
        </is>
      </c>
      <c r="I3" s="72" t="inlineStr">
        <is>
          <t>项目名称</t>
        </is>
      </c>
      <c r="J3" s="72" t="inlineStr">
        <is>
          <t>计划年度</t>
        </is>
      </c>
      <c r="K3" s="72" t="inlineStr">
        <is>
          <t>作业年度</t>
        </is>
      </c>
      <c r="L3" s="72" t="inlineStr">
        <is>
          <t>林地所有权</t>
        </is>
      </c>
      <c r="M3" s="72" t="inlineStr">
        <is>
          <t>造林树种</t>
        </is>
      </c>
      <c r="N3" s="72" t="inlineStr">
        <is>
          <t>上报面积</t>
        </is>
      </c>
      <c r="O3" s="72" t="inlineStr">
        <is>
          <t>补植面积</t>
        </is>
      </c>
      <c r="P3" s="32" t="inlineStr">
        <is>
          <t>成活率面积(%)</t>
        </is>
      </c>
      <c r="Q3" s="83" t="n"/>
      <c r="R3" s="84" t="n"/>
      <c r="S3" s="32" t="inlineStr">
        <is>
          <t>核实面积(亩)</t>
        </is>
      </c>
      <c r="T3" s="83" t="n"/>
      <c r="U3" s="83" t="n"/>
      <c r="V3" s="83" t="n"/>
      <c r="W3" s="84" t="n"/>
      <c r="X3" s="25" t="inlineStr">
        <is>
          <t>面积核实不足原因</t>
        </is>
      </c>
      <c r="Y3" s="25" t="inlineStr">
        <is>
          <t>造林不合格原因</t>
        </is>
      </c>
      <c r="Z3" s="25" t="inlineStr">
        <is>
          <t>损失原因</t>
        </is>
      </c>
      <c r="AA3" s="11" t="inlineStr">
        <is>
          <t>修复措施</t>
        </is>
      </c>
      <c r="AB3" s="11" t="inlineStr">
        <is>
          <t>修复方式</t>
        </is>
      </c>
      <c r="AC3" s="11" t="inlineStr">
        <is>
          <t>辅助措施</t>
        </is>
      </c>
      <c r="AD3" s="32" t="inlineStr">
        <is>
          <t>管理情况</t>
        </is>
      </c>
      <c r="AE3" s="83" t="n"/>
      <c r="AF3" s="83" t="n"/>
      <c r="AG3" s="83" t="n"/>
      <c r="AH3" s="83" t="n"/>
      <c r="AI3" s="84" t="n"/>
      <c r="AJ3" s="32" t="inlineStr">
        <is>
          <t>按作业设计施工率</t>
        </is>
      </c>
      <c r="AK3" s="84" t="n"/>
      <c r="AL3" s="32" t="inlineStr">
        <is>
          <t>建档率</t>
        </is>
      </c>
      <c r="AM3" s="84" t="n"/>
      <c r="AN3" s="32" t="inlineStr">
        <is>
          <t>管护率</t>
        </is>
      </c>
      <c r="AO3" s="84" t="n"/>
      <c r="AP3" s="16" t="inlineStr">
        <is>
          <t>抚育率</t>
        </is>
      </c>
      <c r="AQ3" s="84" t="n"/>
      <c r="AR3" s="21" t="inlineStr">
        <is>
          <t>苗木合格率</t>
        </is>
      </c>
      <c r="AS3" s="83" t="n"/>
      <c r="AT3" s="84" t="n"/>
      <c r="AU3" s="20" t="inlineStr">
        <is>
          <t>小班设计株树</t>
        </is>
      </c>
      <c r="AV3" s="21" t="inlineStr">
        <is>
          <t>验收人员（手写签字）</t>
        </is>
      </c>
      <c r="AW3" s="22" t="inlineStr">
        <is>
          <t>验收时间（选填）</t>
        </is>
      </c>
      <c r="AX3" s="21" t="inlineStr">
        <is>
          <t>备注</t>
        </is>
      </c>
      <c r="AY3" s="21" t="inlineStr">
        <is>
          <t>配合验收人员（手写签字）</t>
        </is>
      </c>
      <c r="AZ3" s="21" t="inlineStr">
        <is>
          <t>打卡</t>
        </is>
      </c>
      <c r="BA3" s="84" t="n"/>
      <c r="BB3" s="48" t="inlineStr">
        <is>
          <t>轨迹</t>
        </is>
      </c>
      <c r="BC3" s="23" t="inlineStr">
        <is>
          <t>小班照片</t>
        </is>
      </c>
    </row>
    <row r="4" ht="28" customHeight="1" s="85">
      <c r="A4" s="86" t="n"/>
      <c r="B4" s="86" t="n"/>
      <c r="C4" s="86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25" t="inlineStr">
        <is>
          <t>合格</t>
        </is>
      </c>
      <c r="Q4" s="25" t="inlineStr">
        <is>
          <t>待补植</t>
        </is>
      </c>
      <c r="R4" s="25" t="inlineStr">
        <is>
          <t>失败</t>
        </is>
      </c>
      <c r="S4" s="25" t="inlineStr">
        <is>
          <t>计</t>
        </is>
      </c>
      <c r="T4" s="25" t="inlineStr">
        <is>
          <t>合格面积</t>
        </is>
      </c>
      <c r="U4" s="25" t="inlineStr">
        <is>
          <t>待补植面积</t>
        </is>
      </c>
      <c r="V4" s="25" t="inlineStr">
        <is>
          <t>失败面积</t>
        </is>
      </c>
      <c r="W4" s="25" t="inlineStr">
        <is>
          <t>损失面积</t>
        </is>
      </c>
      <c r="X4" s="87" t="n"/>
      <c r="Y4" s="87" t="n"/>
      <c r="Z4" s="87" t="n"/>
      <c r="AA4" s="87" t="n"/>
      <c r="AB4" s="87" t="n"/>
      <c r="AC4" s="87" t="n"/>
      <c r="AD4" s="25" t="inlineStr">
        <is>
          <t>作业设计</t>
        </is>
      </c>
      <c r="AE4" s="25" t="inlineStr">
        <is>
          <t>会议纪要</t>
        </is>
      </c>
      <c r="AF4" s="25" t="inlineStr">
        <is>
          <t>讲话记录</t>
        </is>
      </c>
      <c r="AG4" s="25" t="inlineStr">
        <is>
          <t>调研报告</t>
        </is>
      </c>
      <c r="AH4" s="25" t="inlineStr">
        <is>
          <t>监理报告</t>
        </is>
      </c>
      <c r="AI4" s="25" t="inlineStr">
        <is>
          <t>图片</t>
        </is>
      </c>
      <c r="AJ4" s="25" t="inlineStr">
        <is>
          <t>符合设计的施工面积</t>
        </is>
      </c>
      <c r="AK4" s="25" t="inlineStr">
        <is>
          <t>按作业设计施工率</t>
        </is>
      </c>
      <c r="AL4" s="25" t="inlineStr">
        <is>
          <t>建档面积</t>
        </is>
      </c>
      <c r="AM4" s="25" t="inlineStr">
        <is>
          <t>建档率</t>
        </is>
      </c>
      <c r="AN4" s="25" t="inlineStr">
        <is>
          <t>管护面积</t>
        </is>
      </c>
      <c r="AO4" s="25" t="inlineStr">
        <is>
          <t>管护率</t>
        </is>
      </c>
      <c r="AP4" s="26" t="inlineStr">
        <is>
          <t>抚育面积</t>
        </is>
      </c>
      <c r="AQ4" s="26" t="inlineStr">
        <is>
          <t>抚育率</t>
        </is>
      </c>
      <c r="AR4" s="22" t="inlineStr">
        <is>
          <t>小班查数株数</t>
        </is>
      </c>
      <c r="AS4" s="22" t="inlineStr">
        <is>
          <t>合格株树</t>
        </is>
      </c>
      <c r="AT4" s="22" t="inlineStr">
        <is>
          <t>合格率</t>
        </is>
      </c>
      <c r="AU4" s="87" t="n"/>
      <c r="AV4" s="86" t="n"/>
      <c r="AW4" s="87" t="n"/>
      <c r="AX4" s="86" t="n"/>
      <c r="AY4" s="86" t="n"/>
      <c r="AZ4" s="22" t="inlineStr">
        <is>
          <t>坐标x</t>
        </is>
      </c>
      <c r="BA4" s="22" t="inlineStr">
        <is>
          <t>坐标y</t>
        </is>
      </c>
      <c r="BB4" s="86" t="n"/>
      <c r="BC4" s="86" t="n"/>
    </row>
    <row r="5" ht="68" customHeight="1" s="85">
      <c r="A5" s="70" t="inlineStr">
        <is>
          <t>玉溪市</t>
        </is>
      </c>
      <c r="B5" s="30" t="n">
        <v>1</v>
      </c>
      <c r="C5" s="30" t="inlineStr">
        <is>
          <t>华宁县</t>
        </is>
      </c>
      <c r="D5" s="30" t="inlineStr">
        <is>
          <t>东山林场</t>
        </is>
      </c>
      <c r="E5" s="30" t="inlineStr">
        <is>
          <t>东山林场</t>
        </is>
      </c>
      <c r="F5" s="79" t="n"/>
      <c r="G5" s="30" t="n">
        <v>1</v>
      </c>
      <c r="H5" s="70" t="inlineStr">
        <is>
          <t>市级</t>
        </is>
      </c>
      <c r="I5" s="70" t="inlineStr">
        <is>
          <t>玉溪市滇中山地石漠化综合治理项目(2023 年度)</t>
        </is>
      </c>
      <c r="J5" s="80" t="n">
        <v>2023</v>
      </c>
      <c r="K5" s="80" t="n">
        <v>2023</v>
      </c>
      <c r="L5" s="71" t="inlineStr">
        <is>
          <t>国有</t>
        </is>
      </c>
      <c r="M5" s="30" t="n"/>
      <c r="N5" s="30" t="n">
        <v>140.4</v>
      </c>
      <c r="O5" s="30" t="n"/>
      <c r="P5" s="88">
        <f>IF(AT5&gt;=0.9,AT5,"")</f>
        <v/>
      </c>
      <c r="Q5" s="88">
        <f>IF(AND(AT5&lt;0.9,AT5&gt;0.4),AT5,"")</f>
        <v/>
      </c>
      <c r="R5" s="88">
        <f>IF(AT5&lt;=0.4,AT5,"")</f>
        <v/>
      </c>
      <c r="S5" s="82" t="n"/>
      <c r="T5" s="82">
        <f>IF(AT5&gt;=0.9,N5,"")</f>
        <v/>
      </c>
      <c r="U5" s="82" t="n"/>
      <c r="V5" s="82" t="n"/>
      <c r="W5" s="82" t="n"/>
      <c r="X5" s="82" t="n"/>
      <c r="Y5" s="82" t="n"/>
      <c r="Z5" s="82" t="n"/>
      <c r="AA5" s="30" t="inlineStr">
        <is>
          <t>抚育修复</t>
        </is>
      </c>
      <c r="AB5" s="30" t="inlineStr">
        <is>
          <t>促进复壮</t>
        </is>
      </c>
      <c r="AC5" s="10" t="n"/>
      <c r="AD5" s="82" t="n"/>
      <c r="AE5" s="82" t="n"/>
      <c r="AF5" s="82" t="n"/>
      <c r="AG5" s="82" t="n"/>
      <c r="AH5" s="82" t="n"/>
      <c r="AI5" s="82" t="n"/>
      <c r="AJ5" s="82">
        <f>IF(AT5&gt;=0.9,N5,"")</f>
        <v/>
      </c>
      <c r="AK5" s="88" t="n"/>
      <c r="AL5" s="82">
        <f>IF(AT5&gt;=0.9,N5,"")</f>
        <v/>
      </c>
      <c r="AM5" s="88" t="n"/>
      <c r="AN5" s="82">
        <f>IF(AT5&gt;=0.9,N5,"")</f>
        <v/>
      </c>
      <c r="AO5" s="88" t="n"/>
      <c r="AP5" s="82">
        <f>IF(AT5&gt;=0.9,N5,"")</f>
        <v/>
      </c>
      <c r="AQ5" s="88" t="n"/>
      <c r="AR5" s="82" t="n"/>
      <c r="AS5" s="82" t="n"/>
      <c r="AT5" s="88" t="n">
        <v>0.1</v>
      </c>
      <c r="AU5" s="79" t="n">
        <v>0</v>
      </c>
      <c r="AV5" s="82" t="n"/>
      <c r="AW5" s="82" t="n"/>
      <c r="AX5" s="82" t="n"/>
      <c r="AY5" s="82" t="n"/>
      <c r="AZ5" s="82" t="n"/>
      <c r="BA5" s="82" t="n"/>
      <c r="BB5" s="82" t="n"/>
      <c r="BC5" s="82" t="n"/>
    </row>
  </sheetData>
  <mergeCells count="39">
    <mergeCell ref="AN3:AO3"/>
    <mergeCell ref="AP3:AQ3"/>
    <mergeCell ref="AC3:AC4"/>
    <mergeCell ref="L3:L4"/>
    <mergeCell ref="B3:B4"/>
    <mergeCell ref="N3:N4"/>
    <mergeCell ref="F3:F4"/>
    <mergeCell ref="X3:X4"/>
    <mergeCell ref="Z3:Z4"/>
    <mergeCell ref="AW3:AW4"/>
    <mergeCell ref="A2:C2"/>
    <mergeCell ref="S3:W3"/>
    <mergeCell ref="A3:A4"/>
    <mergeCell ref="G3:G4"/>
    <mergeCell ref="M3:M4"/>
    <mergeCell ref="I3:I4"/>
    <mergeCell ref="D3:D4"/>
    <mergeCell ref="BC3:BC4"/>
    <mergeCell ref="AX3:AX4"/>
    <mergeCell ref="P3:R3"/>
    <mergeCell ref="AJ3:AK3"/>
    <mergeCell ref="AL3:AM3"/>
    <mergeCell ref="AA3:AA4"/>
    <mergeCell ref="AR3:AT3"/>
    <mergeCell ref="H3:H4"/>
    <mergeCell ref="J3:J4"/>
    <mergeCell ref="AB3:AB4"/>
    <mergeCell ref="AD3:AI3"/>
    <mergeCell ref="A1:AQ1"/>
    <mergeCell ref="AU3:AU4"/>
    <mergeCell ref="AZ3:BA3"/>
    <mergeCell ref="K3:K4"/>
    <mergeCell ref="C3:C4"/>
    <mergeCell ref="O3:O4"/>
    <mergeCell ref="E3:E4"/>
    <mergeCell ref="AY3:AY4"/>
    <mergeCell ref="Y3:Y4"/>
    <mergeCell ref="AV3:AV4"/>
    <mergeCell ref="BB3:BB4"/>
  </mergeCells>
  <pageMargins left="0.75" right="0.75" top="1" bottom="1" header="0.511805555555556" footer="0.511805555555556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"/>
  <sheetViews>
    <sheetView topLeftCell="O1" zoomScale="55" zoomScaleNormal="55" workbookViewId="0">
      <selection activeCell="AH33" sqref="AH33"/>
    </sheetView>
  </sheetViews>
  <sheetFormatPr baseColWidth="8" defaultColWidth="9" defaultRowHeight="17.6" outlineLevelRow="4"/>
  <cols>
    <col width="9" customWidth="1" style="33" min="43" max="43"/>
  </cols>
  <sheetData>
    <row r="1">
      <c r="A1" s="34" t="inlineStr">
        <is>
          <t>人工造林小班质量因子表</t>
        </is>
      </c>
      <c r="AU1" s="34" t="n"/>
      <c r="AV1" s="34" t="n"/>
      <c r="AW1" s="34" t="n"/>
      <c r="AX1" s="36" t="n"/>
      <c r="AY1" s="36" t="n"/>
    </row>
    <row r="2">
      <c r="A2" s="37" t="inlineStr">
        <is>
          <t xml:space="preserve">表1 </t>
        </is>
      </c>
      <c r="AL2" s="38" t="n"/>
      <c r="AM2" s="39" t="inlineStr">
        <is>
          <t>单位：亩、%、株</t>
        </is>
      </c>
      <c r="AU2" s="39" t="n"/>
      <c r="AV2" s="39" t="n"/>
      <c r="AW2" s="39" t="n"/>
      <c r="AX2" s="36" t="n"/>
      <c r="AY2" s="36" t="n"/>
    </row>
    <row r="3">
      <c r="A3" s="41" t="inlineStr">
        <is>
          <t>市</t>
        </is>
      </c>
      <c r="B3" s="41" t="inlineStr">
        <is>
          <t>调查小班号</t>
        </is>
      </c>
      <c r="C3" s="41" t="inlineStr">
        <is>
          <t>县</t>
        </is>
      </c>
      <c r="D3" s="41" t="inlineStr">
        <is>
          <t>乡</t>
        </is>
      </c>
      <c r="E3" s="41" t="inlineStr">
        <is>
          <t>村</t>
        </is>
      </c>
      <c r="F3" s="41" t="inlineStr">
        <is>
          <t>林班</t>
        </is>
      </c>
      <c r="G3" s="41" t="inlineStr">
        <is>
          <t>小班</t>
        </is>
      </c>
      <c r="H3" s="43" t="inlineStr">
        <is>
          <t>验收类别</t>
        </is>
      </c>
      <c r="I3" s="43" t="inlineStr">
        <is>
          <t>项目名称</t>
        </is>
      </c>
      <c r="J3" s="43" t="inlineStr">
        <is>
          <t>计划年度</t>
        </is>
      </c>
      <c r="K3" s="43" t="inlineStr">
        <is>
          <t>作业年度</t>
        </is>
      </c>
      <c r="L3" s="43" t="inlineStr">
        <is>
          <t>林地所有权</t>
        </is>
      </c>
      <c r="M3" s="43" t="inlineStr">
        <is>
          <t>造林树种</t>
        </is>
      </c>
      <c r="N3" s="43" t="inlineStr">
        <is>
          <t>上报面积</t>
        </is>
      </c>
      <c r="O3" s="44" t="inlineStr">
        <is>
          <t>成活率等级(%)</t>
        </is>
      </c>
      <c r="P3" s="83" t="n"/>
      <c r="Q3" s="84" t="n"/>
      <c r="R3" s="44" t="inlineStr">
        <is>
          <t>核实面积(亩)</t>
        </is>
      </c>
      <c r="S3" s="83" t="n"/>
      <c r="T3" s="83" t="n"/>
      <c r="U3" s="83" t="n"/>
      <c r="V3" s="84" t="n"/>
      <c r="W3" s="44" t="inlineStr">
        <is>
          <t>面积核实不足原因</t>
        </is>
      </c>
      <c r="X3" s="44" t="inlineStr">
        <is>
          <t>造林不合格原因</t>
        </is>
      </c>
      <c r="Y3" s="44" t="inlineStr">
        <is>
          <t>损失原因</t>
        </is>
      </c>
      <c r="Z3" s="44" t="inlineStr">
        <is>
          <t>管理情况</t>
        </is>
      </c>
      <c r="AA3" s="83" t="n"/>
      <c r="AB3" s="83" t="n"/>
      <c r="AC3" s="83" t="n"/>
      <c r="AD3" s="83" t="n"/>
      <c r="AE3" s="84" t="n"/>
      <c r="AF3" s="44" t="inlineStr">
        <is>
          <t>按作业设计施工率</t>
        </is>
      </c>
      <c r="AG3" s="84" t="n"/>
      <c r="AH3" s="46" t="inlineStr">
        <is>
          <t>建档率</t>
        </is>
      </c>
      <c r="AI3" s="84" t="n"/>
      <c r="AJ3" s="46" t="inlineStr">
        <is>
          <t>管护率</t>
        </is>
      </c>
      <c r="AK3" s="84" t="n"/>
      <c r="AL3" s="21" t="inlineStr">
        <is>
          <t>抚育率</t>
        </is>
      </c>
      <c r="AM3" s="84" t="n"/>
      <c r="AN3" s="21" t="inlineStr">
        <is>
          <t>苗木合格率</t>
        </is>
      </c>
      <c r="AO3" s="83" t="n"/>
      <c r="AP3" s="84" t="n"/>
      <c r="AQ3" s="41" t="inlineStr">
        <is>
          <t>小班设计株树</t>
        </is>
      </c>
      <c r="AR3" s="21" t="inlineStr">
        <is>
          <t>验收人员（手写签字）</t>
        </is>
      </c>
      <c r="AS3" s="21" t="inlineStr">
        <is>
          <t>验收时间（选填）</t>
        </is>
      </c>
      <c r="AT3" s="21" t="inlineStr">
        <is>
          <t>备注</t>
        </is>
      </c>
      <c r="AU3" s="21" t="inlineStr">
        <is>
          <t>配合验收人员（手写签字）</t>
        </is>
      </c>
      <c r="AV3" s="21" t="inlineStr">
        <is>
          <t>打卡</t>
        </is>
      </c>
      <c r="AW3" s="84" t="n"/>
      <c r="AX3" s="48" t="inlineStr">
        <is>
          <t>轨迹</t>
        </is>
      </c>
      <c r="AY3" s="23" t="inlineStr">
        <is>
          <t>小班照片</t>
        </is>
      </c>
    </row>
    <row r="4" ht="24" customHeight="1" s="85">
      <c r="A4" s="86" t="n"/>
      <c r="B4" s="86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44" t="inlineStr">
        <is>
          <t>合格</t>
        </is>
      </c>
      <c r="P4" s="44" t="inlineStr">
        <is>
          <t>待补植</t>
        </is>
      </c>
      <c r="Q4" s="44" t="inlineStr">
        <is>
          <t>失败</t>
        </is>
      </c>
      <c r="R4" s="44" t="inlineStr">
        <is>
          <t>计</t>
        </is>
      </c>
      <c r="S4" s="44" t="inlineStr">
        <is>
          <t>合格面积</t>
        </is>
      </c>
      <c r="T4" s="44" t="inlineStr">
        <is>
          <t>待补植面积</t>
        </is>
      </c>
      <c r="U4" s="44" t="inlineStr">
        <is>
          <t>失败面积</t>
        </is>
      </c>
      <c r="V4" s="44" t="inlineStr">
        <is>
          <t>损失面积</t>
        </is>
      </c>
      <c r="W4" s="86" t="n"/>
      <c r="X4" s="86" t="n"/>
      <c r="Y4" s="86" t="n"/>
      <c r="Z4" s="44" t="inlineStr">
        <is>
          <t>作业设计</t>
        </is>
      </c>
      <c r="AA4" s="44" t="inlineStr">
        <is>
          <t>会议纪要</t>
        </is>
      </c>
      <c r="AB4" s="44" t="inlineStr">
        <is>
          <t>讲话记录</t>
        </is>
      </c>
      <c r="AC4" s="44" t="inlineStr">
        <is>
          <t>调研报告</t>
        </is>
      </c>
      <c r="AD4" s="44" t="inlineStr">
        <is>
          <t>监理报告</t>
        </is>
      </c>
      <c r="AE4" s="44" t="inlineStr">
        <is>
          <t>图片</t>
        </is>
      </c>
      <c r="AF4" s="44" t="inlineStr">
        <is>
          <t>符合设计的施工面积</t>
        </is>
      </c>
      <c r="AG4" s="44" t="inlineStr">
        <is>
          <t>按作业设计施工率</t>
        </is>
      </c>
      <c r="AH4" s="44" t="inlineStr">
        <is>
          <t>建档面积</t>
        </is>
      </c>
      <c r="AI4" s="44" t="inlineStr">
        <is>
          <t>建档率</t>
        </is>
      </c>
      <c r="AJ4" s="44" t="inlineStr">
        <is>
          <t>管护面积</t>
        </is>
      </c>
      <c r="AK4" s="44" t="inlineStr">
        <is>
          <t>管护率</t>
        </is>
      </c>
      <c r="AL4" s="21" t="inlineStr">
        <is>
          <t>抚育面积</t>
        </is>
      </c>
      <c r="AM4" s="21" t="inlineStr">
        <is>
          <t>抚育率</t>
        </is>
      </c>
      <c r="AN4" s="21" t="inlineStr">
        <is>
          <t>小班查数株数</t>
        </is>
      </c>
      <c r="AO4" s="21" t="inlineStr">
        <is>
          <t>合格株树</t>
        </is>
      </c>
      <c r="AP4" s="21" t="inlineStr">
        <is>
          <t>合格率</t>
        </is>
      </c>
      <c r="AQ4" s="86" t="n"/>
      <c r="AR4" s="86" t="n"/>
      <c r="AS4" s="86" t="n"/>
      <c r="AT4" s="86" t="n"/>
      <c r="AU4" s="86" t="n"/>
      <c r="AV4" s="21" t="inlineStr">
        <is>
          <t>坐标x</t>
        </is>
      </c>
      <c r="AW4" s="21" t="inlineStr">
        <is>
          <t>坐标y</t>
        </is>
      </c>
      <c r="AX4" s="86" t="n"/>
      <c r="AY4" s="86" t="n"/>
    </row>
    <row r="5" ht="48" customHeight="1" s="85">
      <c r="A5" s="41" t="inlineStr">
        <is>
          <t>玉溪市</t>
        </is>
      </c>
      <c r="B5" s="41" t="n">
        <v>1</v>
      </c>
      <c r="C5" s="52" t="inlineStr">
        <is>
          <t>华宁县</t>
        </is>
      </c>
      <c r="D5" s="52" t="inlineStr">
        <is>
          <t>东山林场</t>
        </is>
      </c>
      <c r="E5" s="52" t="inlineStr">
        <is>
          <t>东山</t>
        </is>
      </c>
      <c r="F5" s="41" t="n"/>
      <c r="G5" s="53" t="n">
        <v>1</v>
      </c>
      <c r="H5" s="43" t="inlineStr">
        <is>
          <t>市级</t>
        </is>
      </c>
      <c r="I5" s="54" t="inlineStr">
        <is>
          <t>玉溪市滇中山地石漠化综合治理项目(2023 年度)</t>
        </is>
      </c>
      <c r="J5" s="43" t="n">
        <v>2023</v>
      </c>
      <c r="K5" s="43" t="n">
        <v>2023</v>
      </c>
      <c r="L5" s="43" t="inlineStr">
        <is>
          <t>集体</t>
        </is>
      </c>
      <c r="M5" s="55" t="inlineStr">
        <is>
          <t>6云南松4麻栎</t>
        </is>
      </c>
      <c r="N5" s="55" t="n">
        <v>21</v>
      </c>
      <c r="O5" s="89">
        <f>IF(AP5&gt;=0.9,AP5,"")</f>
        <v/>
      </c>
      <c r="P5" s="89">
        <f>IF(AND(AP5&lt;0.9,AP5&gt;0.4),AP5,"")</f>
        <v/>
      </c>
      <c r="Q5" s="89">
        <f>IF(AP5&lt;=0.4,AP5,"")</f>
        <v/>
      </c>
      <c r="R5" s="44" t="n"/>
      <c r="S5" s="44">
        <f>IF(AP5&gt;=0.9,N5,"")</f>
        <v/>
      </c>
      <c r="T5" s="44" t="n"/>
      <c r="U5" s="44" t="n"/>
      <c r="V5" s="44" t="n"/>
      <c r="W5" s="44" t="n"/>
      <c r="X5" s="44" t="n"/>
      <c r="Y5" s="44" t="n"/>
      <c r="Z5" s="44" t="inlineStr">
        <is>
          <t>有</t>
        </is>
      </c>
      <c r="AA5" s="44" t="inlineStr">
        <is>
          <t>有</t>
        </is>
      </c>
      <c r="AB5" s="44" t="inlineStr">
        <is>
          <t>有</t>
        </is>
      </c>
      <c r="AC5" s="44" t="inlineStr">
        <is>
          <t>有</t>
        </is>
      </c>
      <c r="AD5" s="44" t="inlineStr">
        <is>
          <t>有</t>
        </is>
      </c>
      <c r="AE5" s="44" t="inlineStr">
        <is>
          <t>有</t>
        </is>
      </c>
      <c r="AF5" s="44">
        <f>IF(AP5&gt;=0.9,N5,"")</f>
        <v/>
      </c>
      <c r="AG5" s="89" t="n"/>
      <c r="AH5" s="44">
        <f>IF(AP5&gt;=0.9,N5,"")</f>
        <v/>
      </c>
      <c r="AI5" s="89" t="n"/>
      <c r="AJ5" s="44" t="n"/>
      <c r="AK5" s="89" t="n"/>
      <c r="AL5" s="21">
        <f>IF(AP5&gt;=0.9,N5,"")</f>
        <v/>
      </c>
      <c r="AM5" s="90" t="n"/>
      <c r="AN5" s="21" t="n"/>
      <c r="AO5" s="21" t="n"/>
      <c r="AP5" s="90" t="n">
        <v>0.91</v>
      </c>
      <c r="AQ5" s="41" t="n">
        <v>2329</v>
      </c>
      <c r="AR5" s="21" t="n"/>
      <c r="AS5" s="21" t="n"/>
      <c r="AT5" s="21" t="n"/>
      <c r="AU5" s="21" t="n"/>
      <c r="AV5" s="21" t="n"/>
      <c r="AW5" s="21" t="n"/>
      <c r="AX5" s="58" t="n"/>
      <c r="AY5" s="58" t="n"/>
    </row>
  </sheetData>
  <mergeCells count="36">
    <mergeCell ref="AF3:AG3"/>
    <mergeCell ref="AH3:AI3"/>
    <mergeCell ref="AM2:AT2"/>
    <mergeCell ref="L3:L4"/>
    <mergeCell ref="B3:B4"/>
    <mergeCell ref="A2:AK2"/>
    <mergeCell ref="N3:N4"/>
    <mergeCell ref="F3:F4"/>
    <mergeCell ref="X3:X4"/>
    <mergeCell ref="Z3:AE3"/>
    <mergeCell ref="AQ3:AQ4"/>
    <mergeCell ref="AV3:AW3"/>
    <mergeCell ref="A3:A4"/>
    <mergeCell ref="G3:G4"/>
    <mergeCell ref="M3:M4"/>
    <mergeCell ref="I3:I4"/>
    <mergeCell ref="D3:D4"/>
    <mergeCell ref="W3:W4"/>
    <mergeCell ref="AX3:AX4"/>
    <mergeCell ref="AJ3:AK3"/>
    <mergeCell ref="AL3:AM3"/>
    <mergeCell ref="H3:H4"/>
    <mergeCell ref="R3:V3"/>
    <mergeCell ref="J3:J4"/>
    <mergeCell ref="AS3:AS4"/>
    <mergeCell ref="AN3:AP3"/>
    <mergeCell ref="AU3:AU4"/>
    <mergeCell ref="O3:Q3"/>
    <mergeCell ref="A1:AT1"/>
    <mergeCell ref="K3:K4"/>
    <mergeCell ref="C3:C4"/>
    <mergeCell ref="E3:E4"/>
    <mergeCell ref="AY3:AY4"/>
    <mergeCell ref="Y3:Y4"/>
    <mergeCell ref="AR3:AR4"/>
    <mergeCell ref="AT3:AT4"/>
  </mergeCells>
  <pageMargins left="0.75" right="0.75" top="1" bottom="1" header="0.511805555555556" footer="0.511805555555556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5"/>
  <sheetViews>
    <sheetView tabSelected="1" topLeftCell="O1" zoomScale="70" zoomScaleNormal="70" workbookViewId="0">
      <selection activeCell="O6" sqref="$A6:$XFD789"/>
    </sheetView>
  </sheetViews>
  <sheetFormatPr baseColWidth="8" defaultColWidth="8.47321428571429" defaultRowHeight="21.95" customHeight="1" outlineLevelRow="4"/>
  <cols>
    <col width="5.75" customWidth="1" style="3" min="1" max="2"/>
    <col width="5" customWidth="1" style="3" min="3" max="3"/>
    <col width="6.5" customWidth="1" style="3" min="4" max="4"/>
    <col width="5" customWidth="1" style="3" min="5" max="5"/>
    <col width="4.08928571428571" customWidth="1" style="3" min="6" max="6"/>
    <col width="4.25892857142857" customWidth="1" style="3" min="7" max="7"/>
    <col width="15.5089285714286" customWidth="1" style="3" min="8" max="8"/>
    <col width="4.32142857142857" customWidth="1" style="3" min="9" max="10"/>
    <col width="3.5" customWidth="1" style="3" min="11" max="11"/>
    <col width="6.5" customWidth="1" style="3" min="12" max="12"/>
    <col width="3.5" customWidth="1" style="3" min="13" max="13"/>
    <col width="10.3660714285714" customWidth="1" style="3" min="14" max="14"/>
    <col width="3.5" customWidth="1" style="3" min="15" max="15"/>
    <col width="13.6875" customWidth="1" style="3" min="16" max="16"/>
    <col width="9.65178571428571" customWidth="1" style="3" min="17" max="17"/>
    <col width="5.625" customWidth="1" style="3" min="18" max="18"/>
    <col width="5.82142857142857" customWidth="1" style="3" min="19" max="20"/>
    <col width="5.82142857142857" customWidth="1" style="1" min="21" max="28"/>
    <col width="4.69642857142857" customWidth="1" style="1" min="29" max="29"/>
    <col width="5.82142857142857" customWidth="1" style="1" min="30" max="30"/>
    <col width="5.25892857142857" customWidth="1" style="1" min="31" max="31"/>
    <col width="7.3125" customWidth="1" style="3" min="32" max="32"/>
    <col width="6.5" customWidth="1" style="3" min="33" max="33"/>
    <col width="6.5" customWidth="1" style="1" min="34" max="34"/>
    <col width="4.58928571428571" customWidth="1" style="3" min="35" max="35"/>
    <col width="2.94642857142857" customWidth="1" style="1" min="36" max="41"/>
    <col width="4.25" customWidth="1" style="1" min="42" max="42"/>
    <col width="3.65178571428571" customWidth="1" style="1" min="43" max="48"/>
    <col width="5.53571428571429" customWidth="1" style="1" min="49" max="49"/>
    <col width="4.5625" customWidth="1" style="1" min="50" max="50"/>
    <col width="3.65178571428571" customWidth="1" style="1" min="51" max="59"/>
    <col width="6.15178571428571" customWidth="1" style="3" min="60" max="60"/>
    <col width="3.65178571428571" customWidth="1" style="1" min="61" max="61"/>
    <col width="4.13392857142857" customWidth="1" style="1" min="62" max="62"/>
    <col width="7.88392857142857" customWidth="1" style="1" min="63" max="63"/>
    <col width="8.47321428571429" customWidth="1" style="1" min="64" max="16384"/>
  </cols>
  <sheetData>
    <row r="1" customFormat="1" s="1">
      <c r="A1" s="4" t="inlineStr">
        <is>
          <t xml:space="preserve"> 封山育林小班封育条件质量因子表</t>
        </is>
      </c>
    </row>
    <row r="2" customFormat="1" s="2">
      <c r="A2" s="6" t="inlineStr">
        <is>
          <t>表2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AF2" s="7" t="n"/>
      <c r="AG2" s="7" t="n"/>
      <c r="AI2" s="7" t="n"/>
      <c r="AM2" s="8" t="inlineStr">
        <is>
          <t>单位：亩、株/亩、%</t>
        </is>
      </c>
    </row>
    <row r="3" ht="44" customFormat="1" customHeight="1" s="2">
      <c r="A3" s="10" t="inlineStr">
        <is>
          <t>市</t>
        </is>
      </c>
      <c r="B3" s="11" t="inlineStr">
        <is>
          <t>调查小班号</t>
        </is>
      </c>
      <c r="C3" s="10" t="inlineStr">
        <is>
          <t>县</t>
        </is>
      </c>
      <c r="D3" s="10" t="inlineStr">
        <is>
          <t>乡</t>
        </is>
      </c>
      <c r="E3" s="10" t="inlineStr">
        <is>
          <t>村</t>
        </is>
      </c>
      <c r="F3" s="10" t="inlineStr">
        <is>
          <t>小班</t>
        </is>
      </c>
      <c r="G3" s="11" t="inlineStr">
        <is>
          <t>验收类别</t>
        </is>
      </c>
      <c r="H3" s="11" t="inlineStr">
        <is>
          <t>项目名称</t>
        </is>
      </c>
      <c r="I3" s="10" t="inlineStr">
        <is>
          <t>计划年度</t>
        </is>
      </c>
      <c r="J3" s="10" t="inlineStr">
        <is>
          <t>始封年度</t>
        </is>
      </c>
      <c r="K3" s="10" t="inlineStr">
        <is>
          <t>林地所有权</t>
        </is>
      </c>
      <c r="L3" s="10" t="inlineStr">
        <is>
          <t>封育对象</t>
        </is>
      </c>
      <c r="M3" s="10" t="inlineStr">
        <is>
          <t>封育年限</t>
        </is>
      </c>
      <c r="N3" s="10" t="inlineStr">
        <is>
          <t>封育类型</t>
        </is>
      </c>
      <c r="O3" s="10" t="inlineStr">
        <is>
          <t>封育方式</t>
        </is>
      </c>
      <c r="P3" s="10" t="inlineStr">
        <is>
          <t>封育措施</t>
        </is>
      </c>
      <c r="Q3" s="10" t="inlineStr">
        <is>
          <t>育林措施</t>
        </is>
      </c>
      <c r="R3" s="11" t="inlineStr">
        <is>
          <t>造林树种</t>
        </is>
      </c>
      <c r="S3" s="10" t="inlineStr">
        <is>
          <t>上报面积</t>
        </is>
      </c>
      <c r="T3" s="11" t="inlineStr">
        <is>
          <t>补植面积</t>
        </is>
      </c>
      <c r="U3" s="32" t="inlineStr">
        <is>
          <t>成活率面积(%)</t>
        </is>
      </c>
      <c r="V3" s="83" t="n"/>
      <c r="W3" s="84" t="n"/>
      <c r="X3" s="32" t="inlineStr">
        <is>
          <t>核实面积(亩)</t>
        </is>
      </c>
      <c r="Y3" s="83" t="n"/>
      <c r="Z3" s="83" t="n"/>
      <c r="AA3" s="83" t="n"/>
      <c r="AB3" s="84" t="n"/>
      <c r="AC3" s="32" t="inlineStr">
        <is>
          <t>面积核实不足原因</t>
        </is>
      </c>
      <c r="AD3" s="32" t="inlineStr">
        <is>
          <t>造林不合格原因</t>
        </is>
      </c>
      <c r="AE3" s="32" t="inlineStr">
        <is>
          <t>损失原因</t>
        </is>
      </c>
      <c r="AF3" s="10" t="inlineStr">
        <is>
          <t>优势树种</t>
        </is>
      </c>
      <c r="AG3" s="10" t="inlineStr">
        <is>
          <t>封前地类</t>
        </is>
      </c>
      <c r="AH3" s="32" t="inlineStr">
        <is>
          <t>现地类</t>
        </is>
      </c>
      <c r="AI3" s="10" t="inlineStr">
        <is>
          <t>郁闭度</t>
        </is>
      </c>
      <c r="AJ3" s="32" t="inlineStr">
        <is>
          <t>针叶树      (每亩株数)</t>
        </is>
      </c>
      <c r="AK3" s="83" t="n"/>
      <c r="AL3" s="84" t="n"/>
      <c r="AM3" s="32" t="inlineStr">
        <is>
          <t>阔叶树        (每亩株数)</t>
        </is>
      </c>
      <c r="AN3" s="83" t="n"/>
      <c r="AO3" s="84" t="n"/>
      <c r="AP3" s="32" t="inlineStr">
        <is>
          <t>乔木根株或毛竹(每亩株数)</t>
        </is>
      </c>
      <c r="AQ3" s="32" t="inlineStr">
        <is>
          <t>管理情况</t>
        </is>
      </c>
      <c r="AR3" s="83" t="n"/>
      <c r="AS3" s="83" t="n"/>
      <c r="AT3" s="83" t="n"/>
      <c r="AU3" s="83" t="n"/>
      <c r="AV3" s="84" t="n"/>
      <c r="AW3" s="32" t="inlineStr">
        <is>
          <t>按作业设计施工率</t>
        </is>
      </c>
      <c r="AX3" s="84" t="n"/>
      <c r="AY3" s="14" t="inlineStr">
        <is>
          <t>建档率</t>
        </is>
      </c>
      <c r="AZ3" s="84" t="n"/>
      <c r="BA3" s="14" t="inlineStr">
        <is>
          <t>管护率</t>
        </is>
      </c>
      <c r="BB3" s="84" t="n"/>
      <c r="BC3" s="16" t="inlineStr">
        <is>
          <t>抚育率</t>
        </is>
      </c>
      <c r="BD3" s="84" t="n"/>
      <c r="BE3" s="21" t="inlineStr">
        <is>
          <t>苗木合格率</t>
        </is>
      </c>
      <c r="BF3" s="83" t="n"/>
      <c r="BG3" s="84" t="n"/>
      <c r="BH3" s="20" t="inlineStr">
        <is>
          <t>小班设计株树</t>
        </is>
      </c>
      <c r="BI3" s="21" t="inlineStr">
        <is>
          <t>验收人员（手写签字）</t>
        </is>
      </c>
      <c r="BJ3" s="22" t="inlineStr">
        <is>
          <t>验收时间（选填）</t>
        </is>
      </c>
      <c r="BK3" s="21" t="inlineStr">
        <is>
          <t>备注</t>
        </is>
      </c>
      <c r="BL3" s="21" t="inlineStr">
        <is>
          <t>配合验收人员（手写签字）</t>
        </is>
      </c>
      <c r="BM3" s="21" t="inlineStr">
        <is>
          <t>打卡</t>
        </is>
      </c>
      <c r="BN3" s="84" t="n"/>
      <c r="BO3" s="23" t="inlineStr">
        <is>
          <t>轨迹</t>
        </is>
      </c>
      <c r="BP3" s="23" t="inlineStr">
        <is>
          <t>小班照片</t>
        </is>
      </c>
    </row>
    <row r="4" ht="46" customFormat="1" customHeight="1" s="2">
      <c r="A4" s="86" t="n"/>
      <c r="B4" s="87" t="n"/>
      <c r="C4" s="86" t="n"/>
      <c r="D4" s="86" t="n"/>
      <c r="E4" s="86" t="n"/>
      <c r="F4" s="86" t="n"/>
      <c r="G4" s="87" t="n"/>
      <c r="H4" s="87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7" t="n"/>
      <c r="S4" s="86" t="n"/>
      <c r="T4" s="87" t="n"/>
      <c r="U4" s="25" t="inlineStr">
        <is>
          <t>合格</t>
        </is>
      </c>
      <c r="V4" s="25" t="inlineStr">
        <is>
          <t>待补植</t>
        </is>
      </c>
      <c r="W4" s="25" t="inlineStr">
        <is>
          <t>失败</t>
        </is>
      </c>
      <c r="X4" s="25" t="inlineStr">
        <is>
          <t>计</t>
        </is>
      </c>
      <c r="Y4" s="25" t="inlineStr">
        <is>
          <t>合格面积</t>
        </is>
      </c>
      <c r="Z4" s="25" t="inlineStr">
        <is>
          <t>待补植面积</t>
        </is>
      </c>
      <c r="AA4" s="25" t="inlineStr">
        <is>
          <t>失败面积</t>
        </is>
      </c>
      <c r="AB4" s="25" t="inlineStr">
        <is>
          <t>损失面积</t>
        </is>
      </c>
      <c r="AC4" s="86" t="n"/>
      <c r="AD4" s="86" t="n"/>
      <c r="AE4" s="86" t="n"/>
      <c r="AF4" s="86" t="n"/>
      <c r="AG4" s="86" t="n"/>
      <c r="AH4" s="86" t="n"/>
      <c r="AI4" s="86" t="n"/>
      <c r="AJ4" s="25" t="inlineStr">
        <is>
          <t>母树</t>
        </is>
      </c>
      <c r="AK4" s="25" t="inlineStr">
        <is>
          <t>幼苗</t>
        </is>
      </c>
      <c r="AL4" s="25" t="inlineStr">
        <is>
          <t>幼树</t>
        </is>
      </c>
      <c r="AM4" s="25" t="inlineStr">
        <is>
          <t>母树</t>
        </is>
      </c>
      <c r="AN4" s="25" t="inlineStr">
        <is>
          <t>幼苗</t>
        </is>
      </c>
      <c r="AO4" s="25" t="inlineStr">
        <is>
          <t>幼树</t>
        </is>
      </c>
      <c r="AP4" s="86" t="n"/>
      <c r="AQ4" s="25" t="inlineStr">
        <is>
          <t>作业设计</t>
        </is>
      </c>
      <c r="AR4" s="25" t="inlineStr">
        <is>
          <t>会议纪要</t>
        </is>
      </c>
      <c r="AS4" s="25" t="inlineStr">
        <is>
          <t>讲话记录</t>
        </is>
      </c>
      <c r="AT4" s="25" t="inlineStr">
        <is>
          <t>调研报告</t>
        </is>
      </c>
      <c r="AU4" s="25" t="inlineStr">
        <is>
          <t>监理报告</t>
        </is>
      </c>
      <c r="AV4" s="25" t="inlineStr">
        <is>
          <t>图片</t>
        </is>
      </c>
      <c r="AW4" s="25" t="inlineStr">
        <is>
          <t>符合设计的施工面积</t>
        </is>
      </c>
      <c r="AX4" s="25" t="inlineStr">
        <is>
          <t>按作业设计施工率</t>
        </is>
      </c>
      <c r="AY4" s="25" t="inlineStr">
        <is>
          <t>建档面积</t>
        </is>
      </c>
      <c r="AZ4" s="25" t="inlineStr">
        <is>
          <t>建档率</t>
        </is>
      </c>
      <c r="BA4" s="25" t="inlineStr">
        <is>
          <t>管护面积</t>
        </is>
      </c>
      <c r="BB4" s="25" t="inlineStr">
        <is>
          <t>管护率</t>
        </is>
      </c>
      <c r="BC4" s="26" t="inlineStr">
        <is>
          <t>抚育面积</t>
        </is>
      </c>
      <c r="BD4" s="26" t="inlineStr">
        <is>
          <t>抚育率</t>
        </is>
      </c>
      <c r="BE4" s="22" t="inlineStr">
        <is>
          <t>小班查数株数</t>
        </is>
      </c>
      <c r="BF4" s="22" t="inlineStr">
        <is>
          <t>合格株树</t>
        </is>
      </c>
      <c r="BG4" s="22" t="inlineStr">
        <is>
          <t>合格率</t>
        </is>
      </c>
      <c r="BH4" s="87" t="n"/>
      <c r="BI4" s="86" t="n"/>
      <c r="BJ4" s="87" t="n"/>
      <c r="BK4" s="86" t="n"/>
      <c r="BL4" s="86" t="n"/>
      <c r="BM4" s="22" t="inlineStr">
        <is>
          <t>坐标x</t>
        </is>
      </c>
      <c r="BN4" s="22" t="inlineStr">
        <is>
          <t>坐标y</t>
        </is>
      </c>
      <c r="BO4" s="86" t="n"/>
      <c r="BP4" s="86" t="n"/>
    </row>
    <row r="5" ht="38" customFormat="1" customHeight="1" s="2">
      <c r="A5" s="10" t="inlineStr">
        <is>
          <t>玉溪市</t>
        </is>
      </c>
      <c r="B5" s="30" t="n">
        <v>1</v>
      </c>
      <c r="C5" s="30" t="inlineStr">
        <is>
          <t>澄江市</t>
        </is>
      </c>
      <c r="D5" s="30" t="inlineStr">
        <is>
          <t>凤麓街道</t>
        </is>
      </c>
      <c r="E5" s="30" t="inlineStr">
        <is>
          <t>澄波</t>
        </is>
      </c>
      <c r="F5" s="30" t="n">
        <v>3</v>
      </c>
      <c r="G5" s="10" t="inlineStr">
        <is>
          <t>市级</t>
        </is>
      </c>
      <c r="H5" s="10" t="inlineStr">
        <is>
          <t>玉溪市滇中山地石漠化综合治理项目(2023 年度)</t>
        </is>
      </c>
      <c r="I5" s="10" t="n">
        <v>2023</v>
      </c>
      <c r="J5" s="10" t="n">
        <v>2023</v>
      </c>
      <c r="K5" s="10" t="inlineStr">
        <is>
          <t>集体</t>
        </is>
      </c>
      <c r="L5" s="30" t="inlineStr">
        <is>
          <t>乔木林地</t>
        </is>
      </c>
      <c r="M5" s="10" t="n">
        <v>5</v>
      </c>
      <c r="N5" s="30" t="inlineStr">
        <is>
          <t>乔木型</t>
        </is>
      </c>
      <c r="O5" s="30" t="inlineStr">
        <is>
          <t>全封</t>
        </is>
      </c>
      <c r="P5" s="30" t="inlineStr">
        <is>
          <t>标志牌+巡护+补植</t>
        </is>
      </c>
      <c r="Q5" s="30" t="inlineStr">
        <is>
          <t>补植</t>
        </is>
      </c>
      <c r="R5" s="30" t="inlineStr">
        <is>
          <t>10黄连木</t>
        </is>
      </c>
      <c r="S5" s="30" t="n">
        <v>96.59999999999999</v>
      </c>
      <c r="T5" s="30" t="n">
        <v>96.59999999999999</v>
      </c>
      <c r="U5" s="91">
        <f>IF(BG5&gt;=0.9,BG5,"")</f>
        <v/>
      </c>
      <c r="V5" s="91">
        <f>IF(AND(BG5&lt;0.9,BG5&gt;0.4),BG5,"")</f>
        <v/>
      </c>
      <c r="W5" s="91">
        <f>IF(BG5&lt;=0.4,BG5,"")</f>
        <v/>
      </c>
      <c r="X5" s="32" t="n"/>
      <c r="Y5" s="32">
        <f>IF(BG5&gt;=0.9,S5,"")</f>
        <v/>
      </c>
      <c r="Z5" s="32" t="n"/>
      <c r="AA5" s="32" t="n"/>
      <c r="AB5" s="32" t="n"/>
      <c r="AC5" s="32" t="n"/>
      <c r="AD5" s="32" t="n"/>
      <c r="AE5" s="32" t="n"/>
      <c r="AF5" s="30" t="inlineStr">
        <is>
          <t>10云南松</t>
        </is>
      </c>
      <c r="AG5" s="30" t="inlineStr">
        <is>
          <t>乔木林地</t>
        </is>
      </c>
      <c r="AH5" s="32" t="n"/>
      <c r="AI5" s="30" t="n">
        <v>0.35</v>
      </c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>
        <f>IF(BG5&gt;=0.9,S5,"")</f>
        <v/>
      </c>
      <c r="AX5" s="92" t="n"/>
      <c r="AY5" s="32">
        <f>IF(BG5&gt;=0.9,S5,"")</f>
        <v/>
      </c>
      <c r="AZ5" s="92" t="n"/>
      <c r="BA5" s="32" t="n"/>
      <c r="BB5" s="92" t="n"/>
      <c r="BC5" s="16">
        <f>IF(BG5&gt;=0.9,S5,"")</f>
        <v/>
      </c>
      <c r="BD5" s="91" t="n"/>
      <c r="BE5" s="16" t="n"/>
      <c r="BF5" s="16" t="n"/>
      <c r="BG5" s="91" t="n">
        <v>0.9</v>
      </c>
      <c r="BH5" s="30" t="n">
        <v>966</v>
      </c>
      <c r="BI5" s="32" t="n"/>
      <c r="BJ5" s="32" t="n"/>
      <c r="BK5" s="32" t="n"/>
      <c r="BL5" s="32" t="n"/>
      <c r="BM5" s="32" t="n"/>
      <c r="BN5" s="32" t="n"/>
      <c r="BO5" s="32" t="n"/>
      <c r="BP5" s="32" t="n"/>
    </row>
  </sheetData>
  <mergeCells count="49">
    <mergeCell ref="AQ3:AV3"/>
    <mergeCell ref="AY3:AZ3"/>
    <mergeCell ref="BM3:BN3"/>
    <mergeCell ref="B3:B4"/>
    <mergeCell ref="L3:L4"/>
    <mergeCell ref="N3:N4"/>
    <mergeCell ref="AC3:AC4"/>
    <mergeCell ref="AE3:AE4"/>
    <mergeCell ref="F3:F4"/>
    <mergeCell ref="A1:BK1"/>
    <mergeCell ref="BH3:BH4"/>
    <mergeCell ref="AJ3:AL3"/>
    <mergeCell ref="BI3:BI4"/>
    <mergeCell ref="U3:W3"/>
    <mergeCell ref="BP3:BP4"/>
    <mergeCell ref="BK3:BK4"/>
    <mergeCell ref="A2:C2"/>
    <mergeCell ref="AW3:AX3"/>
    <mergeCell ref="A3:A4"/>
    <mergeCell ref="G3:G4"/>
    <mergeCell ref="M3:M4"/>
    <mergeCell ref="I3:I4"/>
    <mergeCell ref="D3:D4"/>
    <mergeCell ref="BO3:BO4"/>
    <mergeCell ref="AM3:AO3"/>
    <mergeCell ref="AM2:BK2"/>
    <mergeCell ref="X3:AB3"/>
    <mergeCell ref="BA3:BB3"/>
    <mergeCell ref="BC3:BD3"/>
    <mergeCell ref="P3:P4"/>
    <mergeCell ref="AG3:AG4"/>
    <mergeCell ref="H3:H4"/>
    <mergeCell ref="R3:R4"/>
    <mergeCell ref="T3:T4"/>
    <mergeCell ref="J3:J4"/>
    <mergeCell ref="AI3:AI4"/>
    <mergeCell ref="BJ3:BJ4"/>
    <mergeCell ref="BE3:BG3"/>
    <mergeCell ref="AD3:AD4"/>
    <mergeCell ref="BL3:BL4"/>
    <mergeCell ref="K3:K4"/>
    <mergeCell ref="C3:C4"/>
    <mergeCell ref="O3:O4"/>
    <mergeCell ref="E3:E4"/>
    <mergeCell ref="AF3:AF4"/>
    <mergeCell ref="Q3:Q4"/>
    <mergeCell ref="AH3:AH4"/>
    <mergeCell ref="S3:S4"/>
    <mergeCell ref="AP3:AP4"/>
  </mergeCells>
  <pageMargins left="0.75" right="0.75" top="1" bottom="1" header="0.511805555555556" footer="0.511805555555556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2023-05-13T19:23:00Z</dcterms:created>
  <dcterms:modified xmlns:dcterms="http://purl.org/dc/terms/" xmlns:xsi="http://www.w3.org/2001/XMLSchema-instance" xsi:type="dcterms:W3CDTF">2026-08-24T03:50:37Z</dcterms:modified>
  <cp:lastModifiedBy>陶小淘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2052-12.1.26046.26046</vt:lpwstr>
  </property>
  <property name="ICV" fmtid="{D5CDD505-2E9C-101B-9397-08002B2CF9AE}" pid="3">
    <vt:lpwstr xmlns:vt="http://schemas.openxmlformats.org/officeDocument/2006/docPropsVTypes">53DC02B162110BBD3654866A2A15E8B0_43</vt:lpwstr>
  </property>
  <property name="CalculationRule" fmtid="{D5CDD505-2E9C-101B-9397-08002B2CF9AE}" pid="4">
    <vt:i4 xmlns:vt="http://schemas.openxmlformats.org/officeDocument/2006/docPropsVTypes">0</vt:i4>
  </property>
</Properties>
</file>